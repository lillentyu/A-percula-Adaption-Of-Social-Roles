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zer Lili\Dropbox\0 Boston Uni\Buston Lab\Experiments\Chapter 1 - Strategic Growth\Analysis\cleaned datasets\"/>
    </mc:Choice>
  </mc:AlternateContent>
  <xr:revisionPtr revIDLastSave="0" documentId="13_ncr:1_{DB3F93EE-4D4E-4736-9B40-A480449584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unkala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" i="1"/>
  <c r="AP9" i="1"/>
  <c r="AP10" i="1"/>
  <c r="AP11" i="1"/>
  <c r="AP20" i="1"/>
  <c r="AP21" i="1"/>
  <c r="AP25" i="1"/>
  <c r="AP26" i="1"/>
  <c r="AP40" i="1"/>
  <c r="AP41" i="1"/>
  <c r="AP42" i="1"/>
  <c r="AP46" i="1"/>
  <c r="AP49" i="1"/>
  <c r="AP50" i="1"/>
  <c r="AP51" i="1"/>
  <c r="AP55" i="1"/>
  <c r="AP56" i="1"/>
  <c r="AP74" i="1"/>
  <c r="AP75" i="1"/>
  <c r="AP76" i="1"/>
  <c r="AP79" i="1"/>
  <c r="AP80" i="1"/>
  <c r="AP81" i="1"/>
  <c r="AP85" i="1"/>
  <c r="AP86" i="1"/>
  <c r="AP91" i="1"/>
  <c r="AP95" i="1"/>
  <c r="AP96" i="1"/>
  <c r="AP100" i="1"/>
  <c r="AP101" i="1"/>
  <c r="AP105" i="1"/>
  <c r="AP106" i="1"/>
  <c r="AP110" i="1"/>
  <c r="AP111" i="1"/>
  <c r="AP120" i="1"/>
  <c r="AP121" i="1"/>
  <c r="AP125" i="1"/>
  <c r="AP126" i="1"/>
  <c r="AP136" i="1"/>
  <c r="AP139" i="1"/>
  <c r="AP140" i="1"/>
  <c r="AP141" i="1"/>
  <c r="AO9" i="1"/>
  <c r="AO10" i="1"/>
  <c r="AO11" i="1"/>
  <c r="AO20" i="1"/>
  <c r="AO21" i="1"/>
  <c r="AO25" i="1"/>
  <c r="AO26" i="1"/>
  <c r="AO40" i="1"/>
  <c r="AO41" i="1"/>
  <c r="AO42" i="1"/>
  <c r="AO46" i="1"/>
  <c r="AO49" i="1"/>
  <c r="AO50" i="1"/>
  <c r="AO51" i="1"/>
  <c r="AO55" i="1"/>
  <c r="AO56" i="1"/>
  <c r="AO74" i="1"/>
  <c r="AO75" i="1"/>
  <c r="AO76" i="1"/>
  <c r="AO79" i="1"/>
  <c r="AO80" i="1"/>
  <c r="AO81" i="1"/>
  <c r="AO85" i="1"/>
  <c r="AO86" i="1"/>
  <c r="AO91" i="1"/>
  <c r="AO95" i="1"/>
  <c r="AO96" i="1"/>
  <c r="AO100" i="1"/>
  <c r="AO101" i="1"/>
  <c r="AO105" i="1"/>
  <c r="AO106" i="1"/>
  <c r="AO110" i="1"/>
  <c r="AO111" i="1"/>
  <c r="AO120" i="1"/>
  <c r="AO121" i="1"/>
  <c r="AO125" i="1"/>
  <c r="AO126" i="1"/>
  <c r="AO136" i="1"/>
  <c r="AO139" i="1"/>
  <c r="AO140" i="1"/>
  <c r="AO141" i="1"/>
  <c r="AN9" i="1"/>
  <c r="AN10" i="1"/>
  <c r="AN11" i="1"/>
  <c r="AN20" i="1"/>
  <c r="AN21" i="1"/>
  <c r="AN25" i="1"/>
  <c r="AN26" i="1"/>
  <c r="AN40" i="1"/>
  <c r="AN41" i="1"/>
  <c r="AN42" i="1"/>
  <c r="AN46" i="1"/>
  <c r="AN49" i="1"/>
  <c r="AN50" i="1"/>
  <c r="AN51" i="1"/>
  <c r="AN55" i="1"/>
  <c r="AN56" i="1"/>
  <c r="AN74" i="1"/>
  <c r="AN75" i="1"/>
  <c r="AN76" i="1"/>
  <c r="AN79" i="1"/>
  <c r="AN80" i="1"/>
  <c r="AN81" i="1"/>
  <c r="AN85" i="1"/>
  <c r="AN86" i="1"/>
  <c r="AN91" i="1"/>
  <c r="AN95" i="1"/>
  <c r="AN96" i="1"/>
  <c r="AN100" i="1"/>
  <c r="AN101" i="1"/>
  <c r="AN105" i="1"/>
  <c r="AN106" i="1"/>
  <c r="AN110" i="1"/>
  <c r="AN111" i="1"/>
  <c r="AN120" i="1"/>
  <c r="AN121" i="1"/>
  <c r="AN125" i="1"/>
  <c r="AN126" i="1"/>
  <c r="AN136" i="1"/>
  <c r="AN139" i="1"/>
  <c r="AN140" i="1"/>
  <c r="AN141" i="1"/>
  <c r="AM9" i="1"/>
  <c r="AM10" i="1"/>
  <c r="AM11" i="1"/>
  <c r="AM20" i="1"/>
  <c r="AM21" i="1"/>
  <c r="AM25" i="1"/>
  <c r="AM26" i="1"/>
  <c r="AM40" i="1"/>
  <c r="AM41" i="1"/>
  <c r="AM42" i="1"/>
  <c r="AM46" i="1"/>
  <c r="AM49" i="1"/>
  <c r="AM50" i="1"/>
  <c r="AM51" i="1"/>
  <c r="AM55" i="1"/>
  <c r="AM56" i="1"/>
  <c r="AM74" i="1"/>
  <c r="AM75" i="1"/>
  <c r="AM76" i="1"/>
  <c r="AM79" i="1"/>
  <c r="AM80" i="1"/>
  <c r="AM81" i="1"/>
  <c r="AM85" i="1"/>
  <c r="AM86" i="1"/>
  <c r="AM91" i="1"/>
  <c r="AM95" i="1"/>
  <c r="AM96" i="1"/>
  <c r="AM100" i="1"/>
  <c r="AM101" i="1"/>
  <c r="AM105" i="1"/>
  <c r="AM106" i="1"/>
  <c r="AM110" i="1"/>
  <c r="AM111" i="1"/>
  <c r="AM120" i="1"/>
  <c r="AM121" i="1"/>
  <c r="AM125" i="1"/>
  <c r="AM126" i="1"/>
  <c r="AM136" i="1"/>
  <c r="AM139" i="1"/>
  <c r="AM140" i="1"/>
  <c r="AM141" i="1"/>
  <c r="AD135" i="1"/>
  <c r="AJ90" i="1"/>
  <c r="AI90" i="1"/>
  <c r="AI92" i="1"/>
  <c r="AF90" i="1"/>
  <c r="AG90" i="1"/>
  <c r="AE90" i="1"/>
  <c r="AD90" i="1"/>
  <c r="AE30" i="1"/>
  <c r="AF30" i="1"/>
  <c r="AG30" i="1"/>
  <c r="AI30" i="1"/>
  <c r="AJ30" i="1"/>
  <c r="AD30" i="1"/>
  <c r="AD31" i="1"/>
  <c r="AE31" i="1"/>
  <c r="AF31" i="1"/>
  <c r="AG31" i="1"/>
  <c r="AI31" i="1"/>
  <c r="AJ31" i="1"/>
  <c r="AD32" i="1"/>
  <c r="AE32" i="1"/>
  <c r="AF32" i="1"/>
  <c r="AG32" i="1"/>
  <c r="AI32" i="1"/>
  <c r="AJ32" i="1"/>
  <c r="AD33" i="1"/>
  <c r="AE33" i="1"/>
  <c r="AF33" i="1"/>
  <c r="AG33" i="1"/>
  <c r="AI33" i="1"/>
  <c r="AJ33" i="1"/>
  <c r="AD34" i="1"/>
  <c r="AE34" i="1"/>
  <c r="AF34" i="1"/>
  <c r="AG34" i="1"/>
  <c r="AI34" i="1"/>
  <c r="AJ34" i="1"/>
  <c r="AD35" i="1"/>
  <c r="AE35" i="1"/>
  <c r="AF35" i="1"/>
  <c r="AG35" i="1"/>
  <c r="AI35" i="1"/>
  <c r="AJ35" i="1"/>
  <c r="AD36" i="1"/>
  <c r="AE36" i="1"/>
  <c r="AF36" i="1"/>
  <c r="AG36" i="1"/>
  <c r="AI36" i="1"/>
  <c r="AJ36" i="1"/>
  <c r="AD37" i="1"/>
  <c r="AE37" i="1"/>
  <c r="AF37" i="1"/>
  <c r="AG37" i="1"/>
  <c r="AI37" i="1"/>
  <c r="AJ37" i="1"/>
  <c r="AD39" i="1"/>
  <c r="AE39" i="1"/>
  <c r="AF39" i="1"/>
  <c r="AG39" i="1"/>
  <c r="AI39" i="1"/>
  <c r="AJ39" i="1"/>
  <c r="AD43" i="1"/>
  <c r="AE43" i="1"/>
  <c r="AF43" i="1"/>
  <c r="AG43" i="1"/>
  <c r="AI43" i="1"/>
  <c r="AJ43" i="1"/>
  <c r="AD45" i="1"/>
  <c r="AE45" i="1"/>
  <c r="AF45" i="1"/>
  <c r="AG45" i="1"/>
  <c r="AI45" i="1"/>
  <c r="AJ45" i="1"/>
  <c r="AD47" i="1"/>
  <c r="AE47" i="1"/>
  <c r="AF47" i="1"/>
  <c r="AG47" i="1"/>
  <c r="AI47" i="1"/>
  <c r="AJ47" i="1"/>
  <c r="AD48" i="1"/>
  <c r="AE48" i="1"/>
  <c r="AF48" i="1"/>
  <c r="AG48" i="1"/>
  <c r="AI48" i="1"/>
  <c r="AJ48" i="1"/>
  <c r="AD52" i="1"/>
  <c r="AE52" i="1"/>
  <c r="AF52" i="1"/>
  <c r="AG52" i="1"/>
  <c r="AI52" i="1"/>
  <c r="AJ52" i="1"/>
  <c r="AD53" i="1"/>
  <c r="AE53" i="1"/>
  <c r="AF53" i="1"/>
  <c r="AG53" i="1"/>
  <c r="AI53" i="1"/>
  <c r="AJ53" i="1"/>
  <c r="AD54" i="1"/>
  <c r="AE54" i="1"/>
  <c r="AF54" i="1"/>
  <c r="AG54" i="1"/>
  <c r="AI54" i="1"/>
  <c r="AJ54" i="1"/>
  <c r="AD57" i="1"/>
  <c r="AE57" i="1"/>
  <c r="AF57" i="1"/>
  <c r="AG57" i="1"/>
  <c r="AI57" i="1"/>
  <c r="AJ57" i="1"/>
  <c r="AD58" i="1"/>
  <c r="AE58" i="1"/>
  <c r="AF58" i="1"/>
  <c r="AG58" i="1"/>
  <c r="AI58" i="1"/>
  <c r="AJ58" i="1"/>
  <c r="AD59" i="1"/>
  <c r="AE59" i="1"/>
  <c r="AF59" i="1"/>
  <c r="AG59" i="1"/>
  <c r="AI59" i="1"/>
  <c r="AJ59" i="1"/>
  <c r="AD60" i="1"/>
  <c r="AE60" i="1"/>
  <c r="AF60" i="1"/>
  <c r="AG60" i="1"/>
  <c r="AI60" i="1"/>
  <c r="AJ60" i="1"/>
  <c r="AD61" i="1"/>
  <c r="AE61" i="1"/>
  <c r="AF61" i="1"/>
  <c r="AG61" i="1"/>
  <c r="AI61" i="1"/>
  <c r="AJ61" i="1"/>
  <c r="AD62" i="1"/>
  <c r="AE62" i="1"/>
  <c r="AF62" i="1"/>
  <c r="AG62" i="1"/>
  <c r="AI62" i="1"/>
  <c r="AJ62" i="1"/>
  <c r="AD63" i="1"/>
  <c r="AE63" i="1"/>
  <c r="AF63" i="1"/>
  <c r="AG63" i="1"/>
  <c r="AI63" i="1"/>
  <c r="AJ63" i="1"/>
  <c r="AD64" i="1"/>
  <c r="AE64" i="1"/>
  <c r="AF64" i="1"/>
  <c r="AG64" i="1"/>
  <c r="AI64" i="1"/>
  <c r="AJ64" i="1"/>
  <c r="AD65" i="1"/>
  <c r="AE65" i="1"/>
  <c r="AF65" i="1"/>
  <c r="AG65" i="1"/>
  <c r="AI65" i="1"/>
  <c r="AJ65" i="1"/>
  <c r="AD66" i="1"/>
  <c r="AE66" i="1"/>
  <c r="AF66" i="1"/>
  <c r="AG66" i="1"/>
  <c r="AI66" i="1"/>
  <c r="AJ66" i="1"/>
  <c r="AD67" i="1"/>
  <c r="AE67" i="1"/>
  <c r="AF67" i="1"/>
  <c r="AG67" i="1"/>
  <c r="AI67" i="1"/>
  <c r="AJ67" i="1"/>
  <c r="AD69" i="1"/>
  <c r="AE69" i="1"/>
  <c r="AF69" i="1"/>
  <c r="AG69" i="1"/>
  <c r="AI69" i="1"/>
  <c r="AJ69" i="1"/>
  <c r="AF70" i="1"/>
  <c r="AG70" i="1"/>
  <c r="AI70" i="1"/>
  <c r="AJ70" i="1"/>
  <c r="AD71" i="1"/>
  <c r="AE71" i="1"/>
  <c r="AF71" i="1"/>
  <c r="AG71" i="1"/>
  <c r="AI71" i="1"/>
  <c r="AJ71" i="1"/>
  <c r="AD72" i="1"/>
  <c r="AE72" i="1"/>
  <c r="AF72" i="1"/>
  <c r="AG72" i="1"/>
  <c r="AI72" i="1"/>
  <c r="AJ72" i="1"/>
  <c r="AD77" i="1"/>
  <c r="AE77" i="1"/>
  <c r="AF77" i="1"/>
  <c r="AG77" i="1"/>
  <c r="AI77" i="1"/>
  <c r="AJ77" i="1"/>
  <c r="AD82" i="1"/>
  <c r="AE82" i="1"/>
  <c r="AF82" i="1"/>
  <c r="AG82" i="1"/>
  <c r="AI82" i="1"/>
  <c r="AJ82" i="1"/>
  <c r="AD83" i="1"/>
  <c r="AE83" i="1"/>
  <c r="AF83" i="1"/>
  <c r="AG83" i="1"/>
  <c r="AI83" i="1"/>
  <c r="AJ83" i="1"/>
  <c r="AD84" i="1"/>
  <c r="AE84" i="1"/>
  <c r="AF84" i="1"/>
  <c r="AG84" i="1"/>
  <c r="AI84" i="1"/>
  <c r="AJ84" i="1"/>
  <c r="AD87" i="1"/>
  <c r="AE87" i="1"/>
  <c r="AF87" i="1"/>
  <c r="AG87" i="1"/>
  <c r="AI87" i="1"/>
  <c r="AJ87" i="1"/>
  <c r="AD89" i="1"/>
  <c r="AE89" i="1"/>
  <c r="AF89" i="1"/>
  <c r="AG89" i="1"/>
  <c r="AI89" i="1"/>
  <c r="AJ89" i="1"/>
  <c r="AD92" i="1"/>
  <c r="AE92" i="1"/>
  <c r="AF92" i="1"/>
  <c r="AG92" i="1"/>
  <c r="AJ92" i="1"/>
  <c r="AD93" i="1"/>
  <c r="AE93" i="1"/>
  <c r="AF93" i="1"/>
  <c r="AG93" i="1"/>
  <c r="AI93" i="1"/>
  <c r="AJ93" i="1"/>
  <c r="AD94" i="1"/>
  <c r="AE94" i="1"/>
  <c r="AF94" i="1"/>
  <c r="AG94" i="1"/>
  <c r="AI94" i="1"/>
  <c r="AJ94" i="1"/>
  <c r="AD97" i="1"/>
  <c r="AE97" i="1"/>
  <c r="AF97" i="1"/>
  <c r="AG97" i="1"/>
  <c r="AI97" i="1"/>
  <c r="AJ97" i="1"/>
  <c r="AD98" i="1"/>
  <c r="AE98" i="1"/>
  <c r="AF98" i="1"/>
  <c r="AG98" i="1"/>
  <c r="AI98" i="1"/>
  <c r="AJ98" i="1"/>
  <c r="AD99" i="1"/>
  <c r="AE99" i="1"/>
  <c r="AF99" i="1"/>
  <c r="AG99" i="1"/>
  <c r="AI99" i="1"/>
  <c r="AJ99" i="1"/>
  <c r="AD102" i="1"/>
  <c r="AE102" i="1"/>
  <c r="AF102" i="1"/>
  <c r="AG102" i="1"/>
  <c r="AI102" i="1"/>
  <c r="AJ102" i="1"/>
  <c r="AD103" i="1"/>
  <c r="AE103" i="1"/>
  <c r="AF103" i="1"/>
  <c r="AG103" i="1"/>
  <c r="AI103" i="1"/>
  <c r="AJ103" i="1"/>
  <c r="AD104" i="1"/>
  <c r="AE104" i="1"/>
  <c r="AF104" i="1"/>
  <c r="AG104" i="1"/>
  <c r="AI104" i="1"/>
  <c r="AJ104" i="1"/>
  <c r="AD107" i="1"/>
  <c r="AE107" i="1"/>
  <c r="AF107" i="1"/>
  <c r="AG107" i="1"/>
  <c r="AI107" i="1"/>
  <c r="AJ107" i="1"/>
  <c r="AD108" i="1"/>
  <c r="AE108" i="1"/>
  <c r="AF108" i="1"/>
  <c r="AG108" i="1"/>
  <c r="AI108" i="1"/>
  <c r="AJ108" i="1"/>
  <c r="AD109" i="1"/>
  <c r="AE109" i="1"/>
  <c r="AF109" i="1"/>
  <c r="AG109" i="1"/>
  <c r="AI109" i="1"/>
  <c r="AJ109" i="1"/>
  <c r="AD112" i="1"/>
  <c r="AE112" i="1"/>
  <c r="AF112" i="1"/>
  <c r="AG112" i="1"/>
  <c r="AI112" i="1"/>
  <c r="AJ112" i="1"/>
  <c r="AD113" i="1"/>
  <c r="AE113" i="1"/>
  <c r="AF113" i="1"/>
  <c r="AG113" i="1"/>
  <c r="AI113" i="1"/>
  <c r="AJ113" i="1"/>
  <c r="AD114" i="1"/>
  <c r="AE114" i="1"/>
  <c r="AF114" i="1"/>
  <c r="AG114" i="1"/>
  <c r="AI114" i="1"/>
  <c r="AJ114" i="1"/>
  <c r="AD115" i="1"/>
  <c r="AE115" i="1"/>
  <c r="AF115" i="1"/>
  <c r="AG115" i="1"/>
  <c r="AI115" i="1"/>
  <c r="AJ115" i="1"/>
  <c r="AD116" i="1"/>
  <c r="AE116" i="1"/>
  <c r="AF116" i="1"/>
  <c r="AG116" i="1"/>
  <c r="AI116" i="1"/>
  <c r="AJ116" i="1"/>
  <c r="AD117" i="1"/>
  <c r="AE117" i="1"/>
  <c r="AF117" i="1"/>
  <c r="AG117" i="1"/>
  <c r="AI117" i="1"/>
  <c r="AJ117" i="1"/>
  <c r="AD118" i="1"/>
  <c r="AE118" i="1"/>
  <c r="AF118" i="1"/>
  <c r="AG118" i="1"/>
  <c r="AI118" i="1"/>
  <c r="AJ118" i="1"/>
  <c r="AD119" i="1"/>
  <c r="AE119" i="1"/>
  <c r="AF119" i="1"/>
  <c r="AG119" i="1"/>
  <c r="AI119" i="1"/>
  <c r="AJ119" i="1"/>
  <c r="AD122" i="1"/>
  <c r="AE122" i="1"/>
  <c r="AF122" i="1"/>
  <c r="AG122" i="1"/>
  <c r="AI122" i="1"/>
  <c r="AJ122" i="1"/>
  <c r="AD123" i="1"/>
  <c r="AE123" i="1"/>
  <c r="AF123" i="1"/>
  <c r="AG123" i="1"/>
  <c r="AI123" i="1"/>
  <c r="AJ123" i="1"/>
  <c r="AD124" i="1"/>
  <c r="AE124" i="1"/>
  <c r="AF124" i="1"/>
  <c r="AG124" i="1"/>
  <c r="AI124" i="1"/>
  <c r="AJ124" i="1"/>
  <c r="AD127" i="1"/>
  <c r="AE127" i="1"/>
  <c r="AF127" i="1"/>
  <c r="AG127" i="1"/>
  <c r="AI127" i="1"/>
  <c r="AJ127" i="1"/>
  <c r="AD128" i="1"/>
  <c r="AE128" i="1"/>
  <c r="AF128" i="1"/>
  <c r="AG128" i="1"/>
  <c r="AI128" i="1"/>
  <c r="AJ128" i="1"/>
  <c r="AD129" i="1"/>
  <c r="AE129" i="1"/>
  <c r="AF129" i="1"/>
  <c r="AG129" i="1"/>
  <c r="AI129" i="1"/>
  <c r="AJ129" i="1"/>
  <c r="AD130" i="1"/>
  <c r="AE130" i="1"/>
  <c r="AF130" i="1"/>
  <c r="AG130" i="1"/>
  <c r="AI130" i="1"/>
  <c r="AJ130" i="1"/>
  <c r="AD131" i="1"/>
  <c r="AE131" i="1"/>
  <c r="AF131" i="1"/>
  <c r="AG131" i="1"/>
  <c r="AI131" i="1"/>
  <c r="AJ131" i="1"/>
  <c r="AD132" i="1"/>
  <c r="AE132" i="1"/>
  <c r="AF132" i="1"/>
  <c r="AG132" i="1"/>
  <c r="AI132" i="1"/>
  <c r="AJ132" i="1"/>
  <c r="AD134" i="1"/>
  <c r="AE134" i="1"/>
  <c r="AF134" i="1"/>
  <c r="AG134" i="1"/>
  <c r="AI134" i="1"/>
  <c r="AJ134" i="1"/>
  <c r="AE135" i="1"/>
  <c r="AF135" i="1"/>
  <c r="AG135" i="1"/>
  <c r="AI135" i="1"/>
  <c r="AJ135" i="1"/>
  <c r="AD10" i="1"/>
  <c r="AE10" i="1"/>
  <c r="AF10" i="1"/>
  <c r="AG10" i="1"/>
  <c r="AI10" i="1"/>
  <c r="AJ10" i="1"/>
  <c r="AD11" i="1"/>
  <c r="AE11" i="1"/>
  <c r="AF11" i="1"/>
  <c r="AG11" i="1"/>
  <c r="AI11" i="1"/>
  <c r="AJ11" i="1"/>
  <c r="AD20" i="1"/>
  <c r="AE20" i="1"/>
  <c r="AF20" i="1"/>
  <c r="AG20" i="1"/>
  <c r="AI20" i="1"/>
  <c r="AJ20" i="1"/>
  <c r="AD21" i="1"/>
  <c r="AE21" i="1"/>
  <c r="AF21" i="1"/>
  <c r="AG21" i="1"/>
  <c r="AI21" i="1"/>
  <c r="AJ21" i="1"/>
  <c r="AD25" i="1"/>
  <c r="AE25" i="1"/>
  <c r="AF25" i="1"/>
  <c r="AG25" i="1"/>
  <c r="AI25" i="1"/>
  <c r="AJ25" i="1"/>
  <c r="AD26" i="1"/>
  <c r="AE26" i="1"/>
  <c r="AF26" i="1"/>
  <c r="AG26" i="1"/>
  <c r="AI26" i="1"/>
  <c r="AJ26" i="1"/>
  <c r="AD40" i="1"/>
  <c r="AE40" i="1"/>
  <c r="AF40" i="1"/>
  <c r="AG40" i="1"/>
  <c r="AI40" i="1"/>
  <c r="AJ40" i="1"/>
  <c r="AD41" i="1"/>
  <c r="AE41" i="1"/>
  <c r="AF41" i="1"/>
  <c r="AG41" i="1"/>
  <c r="AI41" i="1"/>
  <c r="AJ41" i="1"/>
  <c r="AD42" i="1"/>
  <c r="AE42" i="1"/>
  <c r="AF42" i="1"/>
  <c r="AG42" i="1"/>
  <c r="AI42" i="1"/>
  <c r="AJ42" i="1"/>
  <c r="AD46" i="1"/>
  <c r="AE46" i="1"/>
  <c r="AF46" i="1"/>
  <c r="AG46" i="1"/>
  <c r="AI46" i="1"/>
  <c r="AJ46" i="1"/>
  <c r="AD49" i="1"/>
  <c r="AE49" i="1"/>
  <c r="AF49" i="1"/>
  <c r="AG49" i="1"/>
  <c r="AI49" i="1"/>
  <c r="AJ49" i="1"/>
  <c r="AD50" i="1"/>
  <c r="AE50" i="1"/>
  <c r="AF50" i="1"/>
  <c r="AG50" i="1"/>
  <c r="AI50" i="1"/>
  <c r="AJ50" i="1"/>
  <c r="AD51" i="1"/>
  <c r="AE51" i="1"/>
  <c r="AF51" i="1"/>
  <c r="AG51" i="1"/>
  <c r="AI51" i="1"/>
  <c r="AJ51" i="1"/>
  <c r="AD55" i="1"/>
  <c r="AE55" i="1"/>
  <c r="AF55" i="1"/>
  <c r="AG55" i="1"/>
  <c r="AI55" i="1"/>
  <c r="AJ55" i="1"/>
  <c r="AD56" i="1"/>
  <c r="AE56" i="1"/>
  <c r="AF56" i="1"/>
  <c r="AG56" i="1"/>
  <c r="AI56" i="1"/>
  <c r="AJ56" i="1"/>
  <c r="AD74" i="1"/>
  <c r="AE74" i="1"/>
  <c r="AF74" i="1"/>
  <c r="AG74" i="1"/>
  <c r="AI74" i="1"/>
  <c r="AJ74" i="1"/>
  <c r="AD75" i="1"/>
  <c r="AE75" i="1"/>
  <c r="AF75" i="1"/>
  <c r="AG75" i="1"/>
  <c r="AI75" i="1"/>
  <c r="AJ75" i="1"/>
  <c r="AD76" i="1"/>
  <c r="AE76" i="1"/>
  <c r="AF76" i="1"/>
  <c r="AG76" i="1"/>
  <c r="AI76" i="1"/>
  <c r="AJ76" i="1"/>
  <c r="AD79" i="1"/>
  <c r="AE79" i="1"/>
  <c r="AF79" i="1"/>
  <c r="AG79" i="1"/>
  <c r="AI79" i="1"/>
  <c r="AJ79" i="1"/>
  <c r="AD80" i="1"/>
  <c r="AE80" i="1"/>
  <c r="AF80" i="1"/>
  <c r="AG80" i="1"/>
  <c r="AI80" i="1"/>
  <c r="AJ80" i="1"/>
  <c r="AD81" i="1"/>
  <c r="AE81" i="1"/>
  <c r="AF81" i="1"/>
  <c r="AG81" i="1"/>
  <c r="AI81" i="1"/>
  <c r="AJ81" i="1"/>
  <c r="AD85" i="1"/>
  <c r="AE85" i="1"/>
  <c r="AF85" i="1"/>
  <c r="AG85" i="1"/>
  <c r="AI85" i="1"/>
  <c r="AJ85" i="1"/>
  <c r="AD86" i="1"/>
  <c r="AE86" i="1"/>
  <c r="AF86" i="1"/>
  <c r="AG86" i="1"/>
  <c r="AI86" i="1"/>
  <c r="AJ86" i="1"/>
  <c r="AD91" i="1"/>
  <c r="AE91" i="1"/>
  <c r="AF91" i="1"/>
  <c r="AG91" i="1"/>
  <c r="AI91" i="1"/>
  <c r="AJ91" i="1"/>
  <c r="AD95" i="1"/>
  <c r="AE95" i="1"/>
  <c r="AF95" i="1"/>
  <c r="AG95" i="1"/>
  <c r="AI95" i="1"/>
  <c r="AJ95" i="1"/>
  <c r="AD96" i="1"/>
  <c r="AE96" i="1"/>
  <c r="AF96" i="1"/>
  <c r="AG96" i="1"/>
  <c r="AI96" i="1"/>
  <c r="AJ96" i="1"/>
  <c r="AD100" i="1"/>
  <c r="AE100" i="1"/>
  <c r="AF100" i="1"/>
  <c r="AG100" i="1"/>
  <c r="AI100" i="1"/>
  <c r="AJ100" i="1"/>
  <c r="AD101" i="1"/>
  <c r="AE101" i="1"/>
  <c r="AF101" i="1"/>
  <c r="AG101" i="1"/>
  <c r="AI101" i="1"/>
  <c r="AJ101" i="1"/>
  <c r="AD105" i="1"/>
  <c r="AE105" i="1"/>
  <c r="AF105" i="1"/>
  <c r="AG105" i="1"/>
  <c r="AI105" i="1"/>
  <c r="AJ105" i="1"/>
  <c r="AD106" i="1"/>
  <c r="AE106" i="1"/>
  <c r="AF106" i="1"/>
  <c r="AG106" i="1"/>
  <c r="AI106" i="1"/>
  <c r="AJ106" i="1"/>
  <c r="AD110" i="1"/>
  <c r="AE110" i="1"/>
  <c r="AF110" i="1"/>
  <c r="AG110" i="1"/>
  <c r="AI110" i="1"/>
  <c r="AJ110" i="1"/>
  <c r="AD111" i="1"/>
  <c r="AE111" i="1"/>
  <c r="AF111" i="1"/>
  <c r="AG111" i="1"/>
  <c r="AI111" i="1"/>
  <c r="AJ111" i="1"/>
  <c r="AD120" i="1"/>
  <c r="AE120" i="1"/>
  <c r="AF120" i="1"/>
  <c r="AG120" i="1"/>
  <c r="AI120" i="1"/>
  <c r="AJ120" i="1"/>
  <c r="AD121" i="1"/>
  <c r="AE121" i="1"/>
  <c r="AF121" i="1"/>
  <c r="AG121" i="1"/>
  <c r="AI121" i="1"/>
  <c r="AJ121" i="1"/>
  <c r="AD125" i="1"/>
  <c r="AE125" i="1"/>
  <c r="AF125" i="1"/>
  <c r="AG125" i="1"/>
  <c r="AI125" i="1"/>
  <c r="AJ125" i="1"/>
  <c r="AD126" i="1"/>
  <c r="AE126" i="1"/>
  <c r="AF126" i="1"/>
  <c r="AG126" i="1"/>
  <c r="AI126" i="1"/>
  <c r="AJ126" i="1"/>
  <c r="AD136" i="1"/>
  <c r="AE136" i="1"/>
  <c r="AF136" i="1"/>
  <c r="AG136" i="1"/>
  <c r="AI136" i="1"/>
  <c r="AJ136" i="1"/>
  <c r="AD139" i="1"/>
  <c r="AE139" i="1"/>
  <c r="AF139" i="1"/>
  <c r="AG139" i="1"/>
  <c r="AI139" i="1"/>
  <c r="AJ139" i="1"/>
  <c r="AD140" i="1"/>
  <c r="AE140" i="1"/>
  <c r="AF140" i="1"/>
  <c r="AG140" i="1"/>
  <c r="AI140" i="1"/>
  <c r="AJ140" i="1"/>
  <c r="AD141" i="1"/>
  <c r="AE141" i="1"/>
  <c r="AF141" i="1"/>
  <c r="AG141" i="1"/>
  <c r="AI141" i="1"/>
  <c r="AJ141" i="1"/>
  <c r="AE27" i="1"/>
  <c r="AF27" i="1"/>
  <c r="AG27" i="1"/>
  <c r="AI27" i="1"/>
  <c r="AJ27" i="1"/>
  <c r="AE29" i="1"/>
  <c r="AF29" i="1"/>
  <c r="AG29" i="1"/>
  <c r="AI29" i="1"/>
  <c r="AJ29" i="1"/>
  <c r="AE4" i="1"/>
  <c r="AF4" i="1"/>
  <c r="AG4" i="1"/>
  <c r="AI4" i="1"/>
  <c r="AJ4" i="1"/>
  <c r="AE5" i="1"/>
  <c r="AF5" i="1"/>
  <c r="AG5" i="1"/>
  <c r="AI5" i="1"/>
  <c r="AJ5" i="1"/>
  <c r="AE6" i="1"/>
  <c r="AF6" i="1"/>
  <c r="AG6" i="1"/>
  <c r="AI6" i="1"/>
  <c r="AJ6" i="1"/>
  <c r="AE7" i="1"/>
  <c r="AF7" i="1"/>
  <c r="AG7" i="1"/>
  <c r="AI7" i="1"/>
  <c r="AJ7" i="1"/>
  <c r="AE8" i="1"/>
  <c r="AF8" i="1"/>
  <c r="AG8" i="1"/>
  <c r="AI8" i="1"/>
  <c r="AJ8" i="1"/>
  <c r="AE12" i="1"/>
  <c r="AF12" i="1"/>
  <c r="AG12" i="1"/>
  <c r="AI12" i="1"/>
  <c r="AJ12" i="1"/>
  <c r="AE17" i="1"/>
  <c r="AF17" i="1"/>
  <c r="AG17" i="1"/>
  <c r="AI17" i="1"/>
  <c r="AJ17" i="1"/>
  <c r="AE18" i="1"/>
  <c r="AF18" i="1"/>
  <c r="AG18" i="1"/>
  <c r="AI18" i="1"/>
  <c r="AJ18" i="1"/>
  <c r="AE19" i="1"/>
  <c r="AF19" i="1"/>
  <c r="AG19" i="1"/>
  <c r="AI19" i="1"/>
  <c r="AJ19" i="1"/>
  <c r="AE22" i="1"/>
  <c r="AF22" i="1"/>
  <c r="AG22" i="1"/>
  <c r="AI22" i="1"/>
  <c r="AJ22" i="1"/>
  <c r="AE23" i="1"/>
  <c r="AF23" i="1"/>
  <c r="AG23" i="1"/>
  <c r="AI23" i="1"/>
  <c r="AJ23" i="1"/>
  <c r="AE24" i="1"/>
  <c r="AF24" i="1"/>
  <c r="AG24" i="1"/>
  <c r="AI24" i="1"/>
  <c r="AJ24" i="1"/>
  <c r="AD4" i="1"/>
  <c r="AD5" i="1"/>
  <c r="AD6" i="1"/>
  <c r="AD7" i="1"/>
  <c r="AD8" i="1"/>
  <c r="AD12" i="1"/>
  <c r="AD17" i="1"/>
  <c r="AD18" i="1"/>
  <c r="AD19" i="1"/>
  <c r="AD22" i="1"/>
  <c r="AD23" i="1"/>
  <c r="AD24" i="1"/>
  <c r="AD27" i="1"/>
  <c r="AD29" i="1"/>
  <c r="AK146" i="1"/>
  <c r="AG146" i="1" s="1"/>
  <c r="AK251" i="1"/>
  <c r="AG251" i="1" s="1"/>
  <c r="AK142" i="1"/>
  <c r="AG142" i="1" s="1"/>
  <c r="AK143" i="1"/>
  <c r="AG143" i="1" s="1"/>
  <c r="AK144" i="1"/>
  <c r="AG144" i="1" s="1"/>
  <c r="AK145" i="1"/>
  <c r="AG145" i="1" s="1"/>
  <c r="AK153" i="1" l="1"/>
  <c r="AG153" i="1" s="1"/>
  <c r="AK154" i="1"/>
  <c r="AG154" i="1" s="1"/>
  <c r="AK155" i="1"/>
  <c r="AG155" i="1" s="1"/>
  <c r="AK156" i="1"/>
  <c r="AG156" i="1" s="1"/>
  <c r="AK162" i="1"/>
  <c r="AG162" i="1" s="1"/>
  <c r="AK163" i="1"/>
  <c r="AG163" i="1" s="1"/>
  <c r="AK164" i="1"/>
  <c r="AG164" i="1" s="1"/>
  <c r="AK165" i="1"/>
  <c r="AG165" i="1" s="1"/>
  <c r="AK166" i="1"/>
  <c r="AG166" i="1" s="1"/>
  <c r="AK172" i="1"/>
  <c r="AG172" i="1" s="1"/>
  <c r="AK173" i="1"/>
  <c r="AG173" i="1" s="1"/>
  <c r="AK174" i="1"/>
  <c r="AG174" i="1" s="1"/>
  <c r="AK175" i="1"/>
  <c r="AG175" i="1" s="1"/>
  <c r="AK176" i="1"/>
  <c r="AG176" i="1" s="1"/>
  <c r="AK182" i="1"/>
  <c r="AG182" i="1" s="1"/>
  <c r="AK183" i="1"/>
  <c r="AG183" i="1" s="1"/>
  <c r="AK184" i="1"/>
  <c r="AG184" i="1" s="1"/>
  <c r="AK185" i="1"/>
  <c r="AG185" i="1" s="1"/>
  <c r="AK186" i="1"/>
  <c r="AG186" i="1" s="1"/>
  <c r="AK192" i="1"/>
  <c r="AG192" i="1" s="1"/>
  <c r="AK193" i="1"/>
  <c r="AG193" i="1" s="1"/>
  <c r="AK194" i="1"/>
  <c r="AG194" i="1" s="1"/>
  <c r="AK195" i="1"/>
  <c r="AG195" i="1" s="1"/>
  <c r="AK196" i="1"/>
  <c r="AG196" i="1" s="1"/>
  <c r="AK232" i="1"/>
  <c r="AG232" i="1" s="1"/>
  <c r="AK233" i="1"/>
  <c r="AG233" i="1" s="1"/>
  <c r="AK234" i="1"/>
  <c r="AG234" i="1" s="1"/>
  <c r="AK235" i="1"/>
  <c r="AG235" i="1" s="1"/>
  <c r="AK236" i="1"/>
  <c r="AG236" i="1" s="1"/>
  <c r="AK217" i="1"/>
  <c r="AG217" i="1" s="1"/>
  <c r="AK218" i="1"/>
  <c r="AG218" i="1" s="1"/>
  <c r="AK219" i="1"/>
  <c r="AG219" i="1" s="1"/>
  <c r="AK220" i="1"/>
  <c r="AG220" i="1" s="1"/>
  <c r="AK221" i="1"/>
  <c r="AG221" i="1" s="1"/>
  <c r="AK147" i="1"/>
  <c r="AG147" i="1" s="1"/>
  <c r="AK148" i="1"/>
  <c r="AG148" i="1" s="1"/>
  <c r="AK149" i="1"/>
  <c r="AG149" i="1" s="1"/>
  <c r="AK150" i="1"/>
  <c r="AG150" i="1" s="1"/>
  <c r="AK151" i="1"/>
  <c r="AG151" i="1" s="1"/>
  <c r="AK242" i="1"/>
  <c r="AG242" i="1" s="1"/>
  <c r="AK243" i="1"/>
  <c r="AG243" i="1" s="1"/>
  <c r="AK244" i="1"/>
  <c r="AG244" i="1" s="1"/>
  <c r="AK245" i="1"/>
  <c r="AG245" i="1" s="1"/>
  <c r="AK246" i="1"/>
  <c r="AG246" i="1" s="1"/>
  <c r="AK212" i="1"/>
  <c r="AG212" i="1" s="1"/>
  <c r="AK213" i="1"/>
  <c r="AG213" i="1" s="1"/>
  <c r="AK214" i="1"/>
  <c r="AG214" i="1" s="1"/>
  <c r="AK215" i="1"/>
  <c r="AG215" i="1" s="1"/>
  <c r="AK216" i="1"/>
  <c r="AG216" i="1" s="1"/>
  <c r="AK222" i="1"/>
  <c r="AG222" i="1" s="1"/>
  <c r="AK223" i="1"/>
  <c r="AG223" i="1" s="1"/>
  <c r="AK224" i="1"/>
  <c r="AG224" i="1" s="1"/>
  <c r="AK225" i="1"/>
  <c r="AG225" i="1" s="1"/>
  <c r="AK226" i="1"/>
  <c r="AG226" i="1" s="1"/>
  <c r="AK227" i="1"/>
  <c r="AG227" i="1" s="1"/>
  <c r="AK228" i="1"/>
  <c r="AG228" i="1" s="1"/>
  <c r="AK229" i="1"/>
  <c r="AG229" i="1" s="1"/>
  <c r="AK230" i="1"/>
  <c r="AG230" i="1" s="1"/>
  <c r="AK231" i="1"/>
  <c r="AG231" i="1" s="1"/>
  <c r="AK202" i="1"/>
  <c r="AG202" i="1" s="1"/>
  <c r="AK203" i="1"/>
  <c r="AG203" i="1" s="1"/>
  <c r="AK204" i="1"/>
  <c r="AG204" i="1" s="1"/>
  <c r="AK205" i="1"/>
  <c r="AG205" i="1" s="1"/>
  <c r="AK206" i="1"/>
  <c r="AG206" i="1" s="1"/>
  <c r="AK177" i="1"/>
  <c r="AG177" i="1" s="1"/>
  <c r="AK178" i="1"/>
  <c r="AG178" i="1" s="1"/>
  <c r="AK179" i="1"/>
  <c r="AG179" i="1" s="1"/>
  <c r="AK180" i="1"/>
  <c r="AG180" i="1" s="1"/>
  <c r="AK181" i="1"/>
  <c r="AG181" i="1" s="1"/>
  <c r="AK167" i="1"/>
  <c r="AG167" i="1" s="1"/>
  <c r="AK168" i="1"/>
  <c r="AG168" i="1" s="1"/>
  <c r="AK169" i="1"/>
  <c r="AG169" i="1" s="1"/>
  <c r="AK170" i="1"/>
  <c r="AG170" i="1" s="1"/>
  <c r="AK171" i="1"/>
  <c r="AG171" i="1" s="1"/>
  <c r="AK157" i="1"/>
  <c r="AG157" i="1" s="1"/>
  <c r="AK158" i="1"/>
  <c r="AG158" i="1" s="1"/>
  <c r="AK159" i="1"/>
  <c r="AG159" i="1" s="1"/>
  <c r="AK160" i="1"/>
  <c r="AG160" i="1" s="1"/>
  <c r="AK161" i="1"/>
  <c r="AG161" i="1" s="1"/>
  <c r="AK207" i="1"/>
  <c r="AG207" i="1" s="1"/>
  <c r="AK208" i="1"/>
  <c r="AG208" i="1" s="1"/>
  <c r="AK209" i="1"/>
  <c r="AG209" i="1" s="1"/>
  <c r="AK210" i="1"/>
  <c r="AG210" i="1" s="1"/>
  <c r="AK211" i="1"/>
  <c r="AG211" i="1" s="1"/>
  <c r="AK187" i="1"/>
  <c r="AG187" i="1" s="1"/>
  <c r="AK188" i="1"/>
  <c r="AG188" i="1" s="1"/>
  <c r="AK189" i="1"/>
  <c r="AG189" i="1" s="1"/>
  <c r="AK190" i="1"/>
  <c r="AG190" i="1" s="1"/>
  <c r="AK191" i="1"/>
  <c r="AG191" i="1" s="1"/>
  <c r="AK237" i="1"/>
  <c r="AG237" i="1" s="1"/>
  <c r="AK238" i="1"/>
  <c r="AG238" i="1" s="1"/>
  <c r="AK239" i="1"/>
  <c r="AG239" i="1" s="1"/>
  <c r="AK240" i="1"/>
  <c r="AG240" i="1" s="1"/>
  <c r="AK241" i="1"/>
  <c r="AG241" i="1" s="1"/>
  <c r="AK197" i="1"/>
  <c r="AG197" i="1" s="1"/>
  <c r="AK198" i="1"/>
  <c r="AG198" i="1" s="1"/>
  <c r="AK199" i="1"/>
  <c r="AG199" i="1" s="1"/>
  <c r="AK200" i="1"/>
  <c r="AG200" i="1" s="1"/>
  <c r="AK201" i="1"/>
  <c r="AG201" i="1" s="1"/>
  <c r="AK247" i="1"/>
  <c r="AG247" i="1" s="1"/>
  <c r="AK248" i="1"/>
  <c r="AG248" i="1" s="1"/>
  <c r="AK249" i="1"/>
  <c r="AG249" i="1" s="1"/>
  <c r="AK250" i="1"/>
  <c r="AG250" i="1" s="1"/>
  <c r="AK152" i="1"/>
  <c r="AG152" i="1" s="1"/>
  <c r="AI9" i="1"/>
  <c r="AJ9" i="1"/>
  <c r="AJ2" i="1"/>
  <c r="AJ137" i="1"/>
  <c r="AI2" i="1"/>
  <c r="AI137" i="1"/>
  <c r="AG9" i="1"/>
  <c r="AG2" i="1"/>
  <c r="AG137" i="1"/>
  <c r="AF2" i="1"/>
  <c r="AF137" i="1"/>
  <c r="AF9" i="1"/>
  <c r="AE2" i="1"/>
  <c r="AE137" i="1"/>
  <c r="AD2" i="1"/>
  <c r="AD137" i="1"/>
  <c r="AE9" i="1"/>
  <c r="AD9" i="1"/>
</calcChain>
</file>

<file path=xl/sharedStrings.xml><?xml version="1.0" encoding="utf-8"?>
<sst xmlns="http://schemas.openxmlformats.org/spreadsheetml/2006/main" count="5183" uniqueCount="103">
  <si>
    <t>fish_type</t>
  </si>
  <si>
    <t>can you ID larger &amp; smaller fish? if no: fill in columns "if no"; if yes: fill in columns "if yes"</t>
  </si>
  <si>
    <t>if no - overall aggression  observed: chases</t>
  </si>
  <si>
    <t>if no - overall aggression observed: headbutts</t>
  </si>
  <si>
    <t>if no - overall aggression observed: bites</t>
  </si>
  <si>
    <t>if no - overall submission observed: flees</t>
  </si>
  <si>
    <t>if no - overall submission observed: shakes</t>
  </si>
  <si>
    <t>if no - overall  appetite of right fish</t>
  </si>
  <si>
    <t>if no - overall  appetite of left fish</t>
  </si>
  <si>
    <t xml:space="preserve">if no -     overall colour of right fish observed </t>
  </si>
  <si>
    <t>if no -     overall colour of left fish observed</t>
  </si>
  <si>
    <t xml:space="preserve">if yes - P1 aggression observed: chases </t>
  </si>
  <si>
    <t xml:space="preserve">if yes - P2 aggression observed: chases </t>
  </si>
  <si>
    <t xml:space="preserve">if yes - P1 aggression observed: headbutts </t>
  </si>
  <si>
    <t xml:space="preserve">if yes - P2 aggression observed: headbutts </t>
  </si>
  <si>
    <t xml:space="preserve">if yes - P1 aggression observed: bites </t>
  </si>
  <si>
    <t xml:space="preserve">if yes - P2 aggression observed: bites </t>
  </si>
  <si>
    <t xml:space="preserve">if yes - P2 submission observed: flees </t>
  </si>
  <si>
    <t xml:space="preserve">if yes - P1 dubmission observed: shakes </t>
  </si>
  <si>
    <t xml:space="preserve">if yes - P2 submission observed: shakes </t>
  </si>
  <si>
    <t xml:space="preserve">if yes - P1 colour </t>
  </si>
  <si>
    <t>if yes - P2 colour</t>
  </si>
  <si>
    <t>if yes - P1 appetite</t>
  </si>
  <si>
    <t>if yes - P2 appetite</t>
  </si>
  <si>
    <t>notes</t>
  </si>
  <si>
    <t>A11</t>
  </si>
  <si>
    <t>A14</t>
  </si>
  <si>
    <t>P</t>
  </si>
  <si>
    <t>no</t>
  </si>
  <si>
    <t>NA</t>
  </si>
  <si>
    <t>B25</t>
  </si>
  <si>
    <t>yes</t>
  </si>
  <si>
    <t>D31</t>
  </si>
  <si>
    <t>D24</t>
  </si>
  <si>
    <t>B34</t>
  </si>
  <si>
    <t>anemone blocked behaviour</t>
  </si>
  <si>
    <t>A31</t>
  </si>
  <si>
    <t>A35</t>
  </si>
  <si>
    <t>B32</t>
  </si>
  <si>
    <t>C32</t>
  </si>
  <si>
    <t>D13</t>
  </si>
  <si>
    <t>D23</t>
  </si>
  <si>
    <t>C24</t>
  </si>
  <si>
    <t>C34</t>
  </si>
  <si>
    <t>D33</t>
  </si>
  <si>
    <t>A25</t>
  </si>
  <si>
    <t>B33</t>
  </si>
  <si>
    <t>A34</t>
  </si>
  <si>
    <t>B15</t>
  </si>
  <si>
    <t>C21</t>
  </si>
  <si>
    <t>D34</t>
  </si>
  <si>
    <t>C31</t>
  </si>
  <si>
    <t>A13</t>
  </si>
  <si>
    <t>B22</t>
  </si>
  <si>
    <t>A12</t>
  </si>
  <si>
    <t>B12</t>
  </si>
  <si>
    <t>C13</t>
  </si>
  <si>
    <t>C25</t>
  </si>
  <si>
    <t>D35</t>
  </si>
  <si>
    <t>A22</t>
  </si>
  <si>
    <t>S</t>
  </si>
  <si>
    <t>A24</t>
  </si>
  <si>
    <t>A33</t>
  </si>
  <si>
    <t>B14</t>
  </si>
  <si>
    <t>B23</t>
  </si>
  <si>
    <t>D21</t>
  </si>
  <si>
    <t>C22</t>
  </si>
  <si>
    <t>A21</t>
  </si>
  <si>
    <t>D25</t>
  </si>
  <si>
    <t>glare - video cant be used</t>
  </si>
  <si>
    <t>C14</t>
  </si>
  <si>
    <t>C35</t>
  </si>
  <si>
    <t>D12</t>
  </si>
  <si>
    <t>C11</t>
  </si>
  <si>
    <t>glare - video unusable</t>
  </si>
  <si>
    <t>B11</t>
  </si>
  <si>
    <t>A32</t>
  </si>
  <si>
    <t>A23</t>
  </si>
  <si>
    <t>C12</t>
  </si>
  <si>
    <t>glare</t>
  </si>
  <si>
    <t>B21</t>
  </si>
  <si>
    <t>D22</t>
  </si>
  <si>
    <t>B35</t>
  </si>
  <si>
    <t>D32</t>
  </si>
  <si>
    <t>total_aggresion</t>
  </si>
  <si>
    <t>total_submission</t>
  </si>
  <si>
    <t>abs_diff_appetite</t>
  </si>
  <si>
    <t>average_appetite</t>
  </si>
  <si>
    <t>total_appetite</t>
  </si>
  <si>
    <t>P_max_appetite</t>
  </si>
  <si>
    <t>P_min_appetite</t>
  </si>
  <si>
    <t>S_appetite</t>
  </si>
  <si>
    <t xml:space="preserve">if yes - P1 submission observed: flees </t>
  </si>
  <si>
    <t>replicate_ID</t>
  </si>
  <si>
    <t>exp_week</t>
  </si>
  <si>
    <t>experiment_day</t>
  </si>
  <si>
    <t>housing_tank_ID</t>
  </si>
  <si>
    <t>P1_total_aggression</t>
  </si>
  <si>
    <t>P2_total_aggression</t>
  </si>
  <si>
    <t>P1_total_submission</t>
  </si>
  <si>
    <t>P2_total_submission</t>
  </si>
  <si>
    <t>P1_appetite</t>
  </si>
  <si>
    <t>P2_appetite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</si>
</sst>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8"/>
      <name val="Arial"/>
      <scheme val="minor"/>
    </font>
    <font>
      <sz val="10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D96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0" fillId="5" borderId="0" xfId="0" applyFill="1"/>
    <xf numFmtId="0" fontId="3" fillId="5" borderId="0" xfId="0" applyFont="1" applyFill="1"/>
    <xf numFmtId="0" fontId="3" fillId="6" borderId="0" xfId="0" applyFont="1" applyFill="1"/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Fill="1"/>
    <xf numFmtId="0" fontId="0" fillId="0" borderId="0" xfId="0" applyNumberFormat="1"/>
    <xf numFmtId="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3"/>
  <sheetViews>
    <sheetView tabSelected="1" topLeftCell="X1" zoomScale="90" zoomScaleNormal="90" workbookViewId="0">
      <pane ySplit="1" topLeftCell="A10" activePane="bottomLeft" state="frozen"/>
      <selection pane="bottomLeft" activeCell="AM1" sqref="AM1:AM1048576"/>
    </sheetView>
  </sheetViews>
  <sheetFormatPr defaultColWidth="12.6640625" defaultRowHeight="15.75" customHeight="1" x14ac:dyDescent="0.25"/>
  <cols>
    <col min="16" max="21" width="12.6640625" style="9"/>
    <col min="28" max="29" width="12.6640625" style="9"/>
  </cols>
  <sheetData>
    <row r="1" spans="1:44" s="12" customFormat="1" ht="66" customHeight="1" thickBot="1" x14ac:dyDescent="0.35">
      <c r="A1" s="12" t="s">
        <v>93</v>
      </c>
      <c r="B1" s="12" t="s">
        <v>96</v>
      </c>
      <c r="C1" s="12" t="s">
        <v>95</v>
      </c>
      <c r="D1" s="12" t="s">
        <v>94</v>
      </c>
      <c r="E1" s="12" t="s">
        <v>0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3" t="s">
        <v>9</v>
      </c>
      <c r="O1" s="13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3" t="s">
        <v>92</v>
      </c>
      <c r="W1" s="13" t="s">
        <v>17</v>
      </c>
      <c r="X1" s="13" t="s">
        <v>18</v>
      </c>
      <c r="Y1" s="13" t="s">
        <v>19</v>
      </c>
      <c r="Z1" s="13" t="s">
        <v>20</v>
      </c>
      <c r="AA1" s="13" t="s">
        <v>21</v>
      </c>
      <c r="AB1" s="14" t="s">
        <v>22</v>
      </c>
      <c r="AC1" s="14" t="s">
        <v>23</v>
      </c>
      <c r="AD1" s="12" t="s">
        <v>84</v>
      </c>
      <c r="AE1" s="12" t="s">
        <v>85</v>
      </c>
      <c r="AF1" s="12" t="s">
        <v>86</v>
      </c>
      <c r="AG1" s="12" t="s">
        <v>87</v>
      </c>
      <c r="AH1" s="12" t="s">
        <v>88</v>
      </c>
      <c r="AI1" s="12" t="s">
        <v>89</v>
      </c>
      <c r="AJ1" s="12" t="s">
        <v>90</v>
      </c>
      <c r="AK1" s="12" t="s">
        <v>91</v>
      </c>
      <c r="AL1" s="15" t="s">
        <v>24</v>
      </c>
      <c r="AM1" s="12" t="s">
        <v>97</v>
      </c>
      <c r="AN1" s="12" t="s">
        <v>98</v>
      </c>
      <c r="AO1" s="12" t="s">
        <v>99</v>
      </c>
      <c r="AP1" s="12" t="s">
        <v>100</v>
      </c>
      <c r="AQ1" s="12" t="s">
        <v>101</v>
      </c>
      <c r="AR1" s="12" t="s">
        <v>102</v>
      </c>
    </row>
    <row r="2" spans="1:44" ht="15.75" customHeight="1" x14ac:dyDescent="0.3">
      <c r="A2" s="2">
        <v>21</v>
      </c>
      <c r="B2" s="2" t="s">
        <v>54</v>
      </c>
      <c r="C2" s="3">
        <v>7</v>
      </c>
      <c r="D2" s="3">
        <v>1</v>
      </c>
      <c r="E2" s="3" t="s">
        <v>27</v>
      </c>
      <c r="F2" s="3" t="s">
        <v>28</v>
      </c>
      <c r="G2" s="3">
        <v>6</v>
      </c>
      <c r="H2" s="3">
        <v>0</v>
      </c>
      <c r="I2" s="3">
        <v>0</v>
      </c>
      <c r="J2" s="3">
        <v>6</v>
      </c>
      <c r="K2" s="3">
        <v>0</v>
      </c>
      <c r="L2" s="3">
        <v>31</v>
      </c>
      <c r="M2" s="3">
        <v>38</v>
      </c>
      <c r="P2" s="18" t="s">
        <v>29</v>
      </c>
      <c r="Q2" s="18" t="s">
        <v>29</v>
      </c>
      <c r="R2" s="18" t="s">
        <v>29</v>
      </c>
      <c r="S2" s="18" t="s">
        <v>29</v>
      </c>
      <c r="T2" s="18" t="s">
        <v>29</v>
      </c>
      <c r="U2" s="18" t="s">
        <v>29</v>
      </c>
      <c r="V2" s="16" t="s">
        <v>29</v>
      </c>
      <c r="W2" s="16" t="s">
        <v>29</v>
      </c>
      <c r="X2" s="16" t="s">
        <v>29</v>
      </c>
      <c r="Y2" s="16" t="s">
        <v>29</v>
      </c>
      <c r="Z2" s="16"/>
      <c r="AB2" s="9" t="s">
        <v>29</v>
      </c>
      <c r="AC2" s="9" t="s">
        <v>29</v>
      </c>
      <c r="AD2">
        <f>SUM(G2:I2)</f>
        <v>6</v>
      </c>
      <c r="AE2">
        <f>SUM(J2:K2)</f>
        <v>6</v>
      </c>
      <c r="AF2">
        <f>ABS(L2-M2)</f>
        <v>7</v>
      </c>
      <c r="AG2">
        <f>AVERAGE(L2:M2)</f>
        <v>34.5</v>
      </c>
      <c r="AI2">
        <f>MAX(L2:M2)</f>
        <v>38</v>
      </c>
      <c r="AJ2">
        <f>MIN(L2:M2)</f>
        <v>31</v>
      </c>
      <c r="AK2" t="s">
        <v>29</v>
      </c>
      <c r="AM2" s="16" t="s">
        <v>29</v>
      </c>
      <c r="AN2" s="16" t="s">
        <v>29</v>
      </c>
      <c r="AO2" s="16" t="s">
        <v>29</v>
      </c>
      <c r="AP2" s="16" t="s">
        <v>29</v>
      </c>
      <c r="AQ2" t="str">
        <f>AB2</f>
        <v>NA</v>
      </c>
      <c r="AR2" t="str">
        <f>AC2</f>
        <v>NA</v>
      </c>
    </row>
    <row r="3" spans="1:44" ht="15.75" customHeight="1" x14ac:dyDescent="0.3">
      <c r="A3" s="2">
        <v>21</v>
      </c>
      <c r="B3" s="2" t="s">
        <v>54</v>
      </c>
      <c r="C3" s="3">
        <v>14</v>
      </c>
      <c r="D3" s="3">
        <v>2</v>
      </c>
      <c r="E3" s="3" t="s">
        <v>27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P3" s="18" t="s">
        <v>29</v>
      </c>
      <c r="Q3" s="18" t="s">
        <v>29</v>
      </c>
      <c r="R3" s="18" t="s">
        <v>29</v>
      </c>
      <c r="S3" s="18" t="s">
        <v>29</v>
      </c>
      <c r="T3" s="18" t="s">
        <v>29</v>
      </c>
      <c r="U3" s="18" t="s">
        <v>29</v>
      </c>
      <c r="V3" s="16" t="s">
        <v>29</v>
      </c>
      <c r="W3" s="16" t="s">
        <v>29</v>
      </c>
      <c r="X3" s="16" t="s">
        <v>29</v>
      </c>
      <c r="Y3" s="16" t="s">
        <v>29</v>
      </c>
      <c r="Z3" s="16"/>
      <c r="AB3" s="9" t="s">
        <v>29</v>
      </c>
      <c r="AC3" s="9" t="s">
        <v>29</v>
      </c>
      <c r="AD3" s="3" t="s">
        <v>29</v>
      </c>
      <c r="AE3" s="3" t="s">
        <v>29</v>
      </c>
      <c r="AF3" s="3" t="s">
        <v>29</v>
      </c>
      <c r="AG3" s="3" t="s">
        <v>29</v>
      </c>
      <c r="AH3" s="3" t="s">
        <v>29</v>
      </c>
      <c r="AI3" s="3" t="s">
        <v>29</v>
      </c>
      <c r="AJ3" s="3" t="s">
        <v>29</v>
      </c>
      <c r="AK3" s="3" t="s">
        <v>29</v>
      </c>
      <c r="AM3" s="16" t="s">
        <v>29</v>
      </c>
      <c r="AN3" s="16" t="s">
        <v>29</v>
      </c>
      <c r="AO3" s="16" t="s">
        <v>29</v>
      </c>
      <c r="AP3" s="16" t="s">
        <v>29</v>
      </c>
      <c r="AQ3" t="str">
        <f t="shared" ref="AQ3:AQ66" si="0">AB3</f>
        <v>NA</v>
      </c>
      <c r="AR3" t="str">
        <f t="shared" ref="AR3:AR66" si="1">AC3</f>
        <v>NA</v>
      </c>
    </row>
    <row r="4" spans="1:44" ht="15.75" customHeight="1" x14ac:dyDescent="0.3">
      <c r="A4" s="2">
        <v>21</v>
      </c>
      <c r="B4" s="2" t="s">
        <v>54</v>
      </c>
      <c r="C4" s="3">
        <v>21</v>
      </c>
      <c r="D4" s="3">
        <v>3</v>
      </c>
      <c r="E4" s="3" t="s">
        <v>27</v>
      </c>
      <c r="F4" s="3" t="s">
        <v>28</v>
      </c>
      <c r="G4" s="3">
        <v>4</v>
      </c>
      <c r="H4" s="3">
        <v>0</v>
      </c>
      <c r="I4" s="3">
        <v>1</v>
      </c>
      <c r="J4" s="3">
        <v>2</v>
      </c>
      <c r="K4" s="3">
        <v>0</v>
      </c>
      <c r="L4" s="3">
        <v>33</v>
      </c>
      <c r="M4" s="3">
        <v>38</v>
      </c>
      <c r="P4" s="18" t="s">
        <v>29</v>
      </c>
      <c r="Q4" s="18" t="s">
        <v>29</v>
      </c>
      <c r="R4" s="18" t="s">
        <v>29</v>
      </c>
      <c r="S4" s="18" t="s">
        <v>29</v>
      </c>
      <c r="T4" s="18" t="s">
        <v>29</v>
      </c>
      <c r="U4" s="18" t="s">
        <v>29</v>
      </c>
      <c r="V4" s="16" t="s">
        <v>29</v>
      </c>
      <c r="W4" s="16" t="s">
        <v>29</v>
      </c>
      <c r="X4" s="16" t="s">
        <v>29</v>
      </c>
      <c r="Y4" s="16" t="s">
        <v>29</v>
      </c>
      <c r="AB4" s="9" t="s">
        <v>29</v>
      </c>
      <c r="AC4" s="9" t="s">
        <v>29</v>
      </c>
      <c r="AD4">
        <f>SUM(G4:I4)</f>
        <v>5</v>
      </c>
      <c r="AE4">
        <f>SUM(J4:K4)</f>
        <v>2</v>
      </c>
      <c r="AF4">
        <f>ABS(L4-M4)</f>
        <v>5</v>
      </c>
      <c r="AG4">
        <f>AVERAGE(L4:M4)</f>
        <v>35.5</v>
      </c>
      <c r="AI4">
        <f>MAX(L4:M4)</f>
        <v>38</v>
      </c>
      <c r="AJ4">
        <f>MIN(L4:M4)</f>
        <v>33</v>
      </c>
      <c r="AK4" t="s">
        <v>29</v>
      </c>
      <c r="AM4" s="16" t="s">
        <v>29</v>
      </c>
      <c r="AN4" s="16" t="s">
        <v>29</v>
      </c>
      <c r="AO4" s="16" t="s">
        <v>29</v>
      </c>
      <c r="AP4" s="16" t="s">
        <v>29</v>
      </c>
      <c r="AQ4" t="str">
        <f t="shared" si="0"/>
        <v>NA</v>
      </c>
      <c r="AR4" t="str">
        <f t="shared" si="1"/>
        <v>NA</v>
      </c>
    </row>
    <row r="5" spans="1:44" ht="15.75" customHeight="1" x14ac:dyDescent="0.3">
      <c r="A5" s="2">
        <v>21</v>
      </c>
      <c r="B5" s="2" t="s">
        <v>54</v>
      </c>
      <c r="C5" s="3">
        <v>28</v>
      </c>
      <c r="D5" s="3">
        <v>4</v>
      </c>
      <c r="E5" s="3" t="s">
        <v>27</v>
      </c>
      <c r="F5" s="3" t="s">
        <v>28</v>
      </c>
      <c r="G5">
        <v>1</v>
      </c>
      <c r="H5">
        <v>3</v>
      </c>
      <c r="I5">
        <v>0</v>
      </c>
      <c r="J5">
        <v>3</v>
      </c>
      <c r="K5">
        <v>0</v>
      </c>
      <c r="L5">
        <v>29</v>
      </c>
      <c r="M5">
        <v>21</v>
      </c>
      <c r="P5" s="18" t="s">
        <v>29</v>
      </c>
      <c r="Q5" s="18" t="s">
        <v>29</v>
      </c>
      <c r="R5" s="18" t="s">
        <v>29</v>
      </c>
      <c r="S5" s="18" t="s">
        <v>29</v>
      </c>
      <c r="T5" s="18" t="s">
        <v>29</v>
      </c>
      <c r="U5" s="18" t="s">
        <v>29</v>
      </c>
      <c r="V5" s="16" t="s">
        <v>29</v>
      </c>
      <c r="W5" s="16" t="s">
        <v>29</v>
      </c>
      <c r="X5" s="16" t="s">
        <v>29</v>
      </c>
      <c r="Y5" s="16" t="s">
        <v>29</v>
      </c>
      <c r="AB5" s="9" t="s">
        <v>29</v>
      </c>
      <c r="AC5" s="9" t="s">
        <v>29</v>
      </c>
      <c r="AD5">
        <f>SUM(G5:I5)</f>
        <v>4</v>
      </c>
      <c r="AE5">
        <f>SUM(J5:K5)</f>
        <v>3</v>
      </c>
      <c r="AF5">
        <f>ABS(L5-M5)</f>
        <v>8</v>
      </c>
      <c r="AG5">
        <f>AVERAGE(L5:M5)</f>
        <v>25</v>
      </c>
      <c r="AI5">
        <f>MAX(L5:M5)</f>
        <v>29</v>
      </c>
      <c r="AJ5">
        <f>MIN(L5:M5)</f>
        <v>21</v>
      </c>
      <c r="AK5" t="s">
        <v>29</v>
      </c>
      <c r="AM5" s="16" t="s">
        <v>29</v>
      </c>
      <c r="AN5" s="16" t="s">
        <v>29</v>
      </c>
      <c r="AO5" s="16" t="s">
        <v>29</v>
      </c>
      <c r="AP5" s="16" t="s">
        <v>29</v>
      </c>
      <c r="AQ5" t="str">
        <f t="shared" si="0"/>
        <v>NA</v>
      </c>
      <c r="AR5" t="str">
        <f t="shared" si="1"/>
        <v>NA</v>
      </c>
    </row>
    <row r="6" spans="1:44" ht="15.75" customHeight="1" x14ac:dyDescent="0.3">
      <c r="A6" s="2">
        <v>21</v>
      </c>
      <c r="B6" s="2" t="s">
        <v>54</v>
      </c>
      <c r="C6" s="3">
        <v>35</v>
      </c>
      <c r="D6" s="3">
        <v>5</v>
      </c>
      <c r="E6" s="3" t="s">
        <v>27</v>
      </c>
      <c r="F6" s="3" t="s">
        <v>28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13</v>
      </c>
      <c r="M6" s="3">
        <v>7</v>
      </c>
      <c r="P6" s="18" t="s">
        <v>29</v>
      </c>
      <c r="Q6" s="18" t="s">
        <v>29</v>
      </c>
      <c r="R6" s="18" t="s">
        <v>29</v>
      </c>
      <c r="S6" s="18" t="s">
        <v>29</v>
      </c>
      <c r="T6" s="18" t="s">
        <v>29</v>
      </c>
      <c r="U6" s="18" t="s">
        <v>29</v>
      </c>
      <c r="V6" s="16" t="s">
        <v>29</v>
      </c>
      <c r="W6" s="16" t="s">
        <v>29</v>
      </c>
      <c r="X6" s="16" t="s">
        <v>29</v>
      </c>
      <c r="Y6" s="16" t="s">
        <v>29</v>
      </c>
      <c r="AB6" s="9" t="s">
        <v>29</v>
      </c>
      <c r="AC6" s="9" t="s">
        <v>29</v>
      </c>
      <c r="AD6">
        <f>SUM(G6:I6)</f>
        <v>0</v>
      </c>
      <c r="AE6">
        <f>SUM(J6:K6)</f>
        <v>0</v>
      </c>
      <c r="AF6">
        <f>ABS(L6-M6)</f>
        <v>6</v>
      </c>
      <c r="AG6">
        <f>AVERAGE(L6:M6)</f>
        <v>10</v>
      </c>
      <c r="AI6">
        <f>MAX(L6:M6)</f>
        <v>13</v>
      </c>
      <c r="AJ6">
        <f>MIN(L6:M6)</f>
        <v>7</v>
      </c>
      <c r="AK6" t="s">
        <v>29</v>
      </c>
      <c r="AM6" s="16" t="s">
        <v>29</v>
      </c>
      <c r="AN6" s="16" t="s">
        <v>29</v>
      </c>
      <c r="AO6" s="16" t="s">
        <v>29</v>
      </c>
      <c r="AP6" s="16" t="s">
        <v>29</v>
      </c>
      <c r="AQ6" t="str">
        <f t="shared" si="0"/>
        <v>NA</v>
      </c>
      <c r="AR6" t="str">
        <f t="shared" si="1"/>
        <v>NA</v>
      </c>
    </row>
    <row r="7" spans="1:44" ht="15.75" customHeight="1" x14ac:dyDescent="0.3">
      <c r="A7" s="2">
        <v>19</v>
      </c>
      <c r="B7" s="2" t="s">
        <v>52</v>
      </c>
      <c r="C7" s="3">
        <v>7</v>
      </c>
      <c r="D7" s="3">
        <v>1</v>
      </c>
      <c r="E7" s="3" t="s">
        <v>27</v>
      </c>
      <c r="F7" s="3" t="s">
        <v>28</v>
      </c>
      <c r="G7" s="3">
        <v>4</v>
      </c>
      <c r="H7" s="3">
        <v>0</v>
      </c>
      <c r="I7" s="3">
        <v>0</v>
      </c>
      <c r="J7" s="3">
        <v>4</v>
      </c>
      <c r="K7" s="3">
        <v>0</v>
      </c>
      <c r="L7" s="3">
        <v>17</v>
      </c>
      <c r="M7" s="3">
        <v>21</v>
      </c>
      <c r="P7" s="18" t="s">
        <v>29</v>
      </c>
      <c r="Q7" s="18" t="s">
        <v>29</v>
      </c>
      <c r="R7" s="18" t="s">
        <v>29</v>
      </c>
      <c r="S7" s="18" t="s">
        <v>29</v>
      </c>
      <c r="T7" s="18" t="s">
        <v>29</v>
      </c>
      <c r="U7" s="18" t="s">
        <v>29</v>
      </c>
      <c r="V7" s="16" t="s">
        <v>29</v>
      </c>
      <c r="W7" s="16" t="s">
        <v>29</v>
      </c>
      <c r="X7" s="16" t="s">
        <v>29</v>
      </c>
      <c r="Y7" s="16" t="s">
        <v>29</v>
      </c>
      <c r="AB7" s="9" t="s">
        <v>29</v>
      </c>
      <c r="AC7" s="9" t="s">
        <v>29</v>
      </c>
      <c r="AD7">
        <f>SUM(G7:I7)</f>
        <v>4</v>
      </c>
      <c r="AE7">
        <f>SUM(J7:K7)</f>
        <v>4</v>
      </c>
      <c r="AF7">
        <f>ABS(L7-M7)</f>
        <v>4</v>
      </c>
      <c r="AG7">
        <f>AVERAGE(L7:M7)</f>
        <v>19</v>
      </c>
      <c r="AI7">
        <f>MAX(L7:M7)</f>
        <v>21</v>
      </c>
      <c r="AJ7">
        <f>MIN(L7:M7)</f>
        <v>17</v>
      </c>
      <c r="AK7" t="s">
        <v>29</v>
      </c>
      <c r="AM7" s="16" t="s">
        <v>29</v>
      </c>
      <c r="AN7" s="16" t="s">
        <v>29</v>
      </c>
      <c r="AO7" s="16" t="s">
        <v>29</v>
      </c>
      <c r="AP7" s="16" t="s">
        <v>29</v>
      </c>
      <c r="AQ7" t="str">
        <f t="shared" si="0"/>
        <v>NA</v>
      </c>
      <c r="AR7" t="str">
        <f t="shared" si="1"/>
        <v>NA</v>
      </c>
    </row>
    <row r="8" spans="1:44" ht="15.75" customHeight="1" x14ac:dyDescent="0.3">
      <c r="A8" s="2">
        <v>19</v>
      </c>
      <c r="B8" s="2" t="s">
        <v>52</v>
      </c>
      <c r="C8" s="3">
        <v>14</v>
      </c>
      <c r="D8" s="3">
        <v>2</v>
      </c>
      <c r="E8" s="3" t="s">
        <v>27</v>
      </c>
      <c r="F8" s="3" t="s">
        <v>28</v>
      </c>
      <c r="G8" s="3">
        <v>11</v>
      </c>
      <c r="H8" s="3">
        <v>0</v>
      </c>
      <c r="I8" s="3">
        <v>1</v>
      </c>
      <c r="J8" s="3">
        <v>8</v>
      </c>
      <c r="K8" s="3">
        <v>0</v>
      </c>
      <c r="L8" s="3">
        <v>24</v>
      </c>
      <c r="M8" s="3">
        <v>17</v>
      </c>
      <c r="P8" s="18" t="s">
        <v>29</v>
      </c>
      <c r="Q8" s="18" t="s">
        <v>29</v>
      </c>
      <c r="R8" s="18" t="s">
        <v>29</v>
      </c>
      <c r="S8" s="18" t="s">
        <v>29</v>
      </c>
      <c r="T8" s="18" t="s">
        <v>29</v>
      </c>
      <c r="U8" s="18" t="s">
        <v>29</v>
      </c>
      <c r="V8" s="16" t="s">
        <v>29</v>
      </c>
      <c r="W8" s="16" t="s">
        <v>29</v>
      </c>
      <c r="X8" s="16" t="s">
        <v>29</v>
      </c>
      <c r="Y8" s="16" t="s">
        <v>29</v>
      </c>
      <c r="AB8" s="9" t="s">
        <v>29</v>
      </c>
      <c r="AC8" s="9" t="s">
        <v>29</v>
      </c>
      <c r="AD8">
        <f>SUM(G8:I8)</f>
        <v>12</v>
      </c>
      <c r="AE8">
        <f>SUM(J8:K8)</f>
        <v>8</v>
      </c>
      <c r="AF8">
        <f>ABS(L8-M8)</f>
        <v>7</v>
      </c>
      <c r="AG8">
        <f>AVERAGE(L8:M8)</f>
        <v>20.5</v>
      </c>
      <c r="AI8">
        <f>MAX(L8:M8)</f>
        <v>24</v>
      </c>
      <c r="AJ8">
        <f>MIN(L8:M8)</f>
        <v>17</v>
      </c>
      <c r="AK8" t="s">
        <v>29</v>
      </c>
      <c r="AM8" s="16" t="s">
        <v>29</v>
      </c>
      <c r="AN8" s="16" t="s">
        <v>29</v>
      </c>
      <c r="AO8" s="16" t="s">
        <v>29</v>
      </c>
      <c r="AP8" s="16" t="s">
        <v>29</v>
      </c>
      <c r="AQ8" t="str">
        <f t="shared" si="0"/>
        <v>NA</v>
      </c>
      <c r="AR8" t="str">
        <f t="shared" si="1"/>
        <v>NA</v>
      </c>
    </row>
    <row r="9" spans="1:44" ht="15.75" customHeight="1" x14ac:dyDescent="0.3">
      <c r="A9" s="2">
        <v>19</v>
      </c>
      <c r="B9" s="2" t="s">
        <v>52</v>
      </c>
      <c r="C9" s="3">
        <v>21</v>
      </c>
      <c r="D9" s="3">
        <v>3</v>
      </c>
      <c r="E9" s="3" t="s">
        <v>27</v>
      </c>
      <c r="F9" s="3" t="s">
        <v>31</v>
      </c>
      <c r="P9" s="3">
        <v>7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8</v>
      </c>
      <c r="X9" s="3">
        <v>0</v>
      </c>
      <c r="Y9" s="3">
        <v>0</v>
      </c>
      <c r="AB9" s="3">
        <v>32</v>
      </c>
      <c r="AC9" s="3">
        <v>27</v>
      </c>
      <c r="AD9">
        <f>SUM(P9:U9)</f>
        <v>7</v>
      </c>
      <c r="AE9">
        <f>SUM(V9:Y9)</f>
        <v>8</v>
      </c>
      <c r="AF9">
        <f>ABS(AB9-AC9)</f>
        <v>5</v>
      </c>
      <c r="AG9">
        <f>AVERAGE(AB9:AC9)</f>
        <v>29.5</v>
      </c>
      <c r="AI9">
        <f>MAX(AB9:AC9)</f>
        <v>32</v>
      </c>
      <c r="AJ9">
        <f>MIN(AB9:AC9)</f>
        <v>27</v>
      </c>
      <c r="AK9" t="s">
        <v>29</v>
      </c>
      <c r="AM9" s="17">
        <f>SUM(P9,R9,T9)</f>
        <v>7</v>
      </c>
      <c r="AN9" s="17">
        <f>SUM(Q9,S9,U9)</f>
        <v>0</v>
      </c>
      <c r="AO9" s="17">
        <f>SUM(V9,X9)</f>
        <v>0</v>
      </c>
      <c r="AP9" s="17">
        <f>SUM(W9,Y9)</f>
        <v>8</v>
      </c>
      <c r="AQ9">
        <f t="shared" si="0"/>
        <v>32</v>
      </c>
      <c r="AR9">
        <f t="shared" si="1"/>
        <v>27</v>
      </c>
    </row>
    <row r="10" spans="1:44" ht="15.75" customHeight="1" x14ac:dyDescent="0.3">
      <c r="A10" s="2">
        <v>19</v>
      </c>
      <c r="B10" s="2" t="s">
        <v>52</v>
      </c>
      <c r="C10" s="3">
        <v>28</v>
      </c>
      <c r="D10" s="3">
        <v>4</v>
      </c>
      <c r="E10" s="3" t="s">
        <v>27</v>
      </c>
      <c r="F10" s="3" t="s">
        <v>31</v>
      </c>
      <c r="P10" s="10">
        <v>3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3">
        <v>0</v>
      </c>
      <c r="W10" s="3">
        <v>3</v>
      </c>
      <c r="X10" s="3">
        <v>0</v>
      </c>
      <c r="Y10" s="3">
        <v>0</v>
      </c>
      <c r="AB10" s="10">
        <v>16</v>
      </c>
      <c r="AC10" s="10">
        <v>12</v>
      </c>
      <c r="AD10">
        <f>SUM(P10:U10)</f>
        <v>3</v>
      </c>
      <c r="AE10">
        <f>SUM(V10:Y10)</f>
        <v>3</v>
      </c>
      <c r="AF10">
        <f>ABS(AB10-AC10)</f>
        <v>4</v>
      </c>
      <c r="AG10">
        <f>AVERAGE(AB10:AC10)</f>
        <v>14</v>
      </c>
      <c r="AI10">
        <f>MAX(AB10:AC10)</f>
        <v>16</v>
      </c>
      <c r="AJ10">
        <f>MIN(AB10:AC10)</f>
        <v>12</v>
      </c>
      <c r="AK10" t="s">
        <v>29</v>
      </c>
      <c r="AM10" s="17">
        <f>SUM(P10,R10,T10)</f>
        <v>3</v>
      </c>
      <c r="AN10" s="17">
        <f>SUM(Q10,S10,U10)</f>
        <v>0</v>
      </c>
      <c r="AO10" s="17">
        <f>SUM(V10,X10)</f>
        <v>0</v>
      </c>
      <c r="AP10" s="17">
        <f>SUM(W10,Y10)</f>
        <v>3</v>
      </c>
      <c r="AQ10">
        <f t="shared" si="0"/>
        <v>16</v>
      </c>
      <c r="AR10">
        <f t="shared" si="1"/>
        <v>12</v>
      </c>
    </row>
    <row r="11" spans="1:44" ht="15.75" customHeight="1" x14ac:dyDescent="0.3">
      <c r="A11" s="2">
        <v>19</v>
      </c>
      <c r="B11" s="2" t="s">
        <v>52</v>
      </c>
      <c r="C11" s="3">
        <v>35</v>
      </c>
      <c r="D11" s="3">
        <v>5</v>
      </c>
      <c r="E11" s="3" t="s">
        <v>27</v>
      </c>
      <c r="F11" s="3" t="s">
        <v>31</v>
      </c>
      <c r="P11" s="10">
        <v>3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3">
        <v>0</v>
      </c>
      <c r="W11" s="3">
        <v>3</v>
      </c>
      <c r="X11" s="3">
        <v>0</v>
      </c>
      <c r="Y11" s="3">
        <v>0</v>
      </c>
      <c r="AB11" s="10">
        <v>32</v>
      </c>
      <c r="AC11" s="10">
        <v>25</v>
      </c>
      <c r="AD11">
        <f>SUM(P11:U11)</f>
        <v>3</v>
      </c>
      <c r="AE11">
        <f>SUM(V11:Y11)</f>
        <v>3</v>
      </c>
      <c r="AF11">
        <f>ABS(AB11-AC11)</f>
        <v>7</v>
      </c>
      <c r="AG11">
        <f>AVERAGE(AB11:AC11)</f>
        <v>28.5</v>
      </c>
      <c r="AI11">
        <f>MAX(AB11:AC11)</f>
        <v>32</v>
      </c>
      <c r="AJ11">
        <f>MIN(AB11:AC11)</f>
        <v>25</v>
      </c>
      <c r="AK11" t="s">
        <v>29</v>
      </c>
      <c r="AM11" s="17">
        <f>SUM(P11,R11,T11)</f>
        <v>3</v>
      </c>
      <c r="AN11" s="17">
        <f>SUM(Q11,S11,U11)</f>
        <v>0</v>
      </c>
      <c r="AO11" s="17">
        <f>SUM(V11,X11)</f>
        <v>0</v>
      </c>
      <c r="AP11" s="17">
        <f>SUM(W11,Y11)</f>
        <v>3</v>
      </c>
      <c r="AQ11">
        <f t="shared" si="0"/>
        <v>32</v>
      </c>
      <c r="AR11">
        <f t="shared" si="1"/>
        <v>25</v>
      </c>
    </row>
    <row r="12" spans="1:44" ht="15.75" customHeight="1" x14ac:dyDescent="0.3">
      <c r="A12" s="1">
        <v>8</v>
      </c>
      <c r="B12" s="2" t="s">
        <v>26</v>
      </c>
      <c r="C12" s="3">
        <v>7</v>
      </c>
      <c r="D12" s="3">
        <v>1</v>
      </c>
      <c r="E12" s="3" t="s">
        <v>27</v>
      </c>
      <c r="F12" s="3" t="s">
        <v>28</v>
      </c>
      <c r="G12" s="3">
        <v>6</v>
      </c>
      <c r="H12" s="3">
        <v>0</v>
      </c>
      <c r="I12" s="3">
        <v>0</v>
      </c>
      <c r="J12" s="3">
        <v>4</v>
      </c>
      <c r="K12" s="3">
        <v>0</v>
      </c>
      <c r="L12" s="3">
        <v>28</v>
      </c>
      <c r="M12" s="3">
        <v>25</v>
      </c>
      <c r="P12" s="9" t="s">
        <v>29</v>
      </c>
      <c r="Q12" s="9" t="s">
        <v>29</v>
      </c>
      <c r="R12" s="9" t="s">
        <v>29</v>
      </c>
      <c r="S12" s="9" t="s">
        <v>29</v>
      </c>
      <c r="T12" s="9" t="s">
        <v>29</v>
      </c>
      <c r="U12" s="9" t="s">
        <v>29</v>
      </c>
      <c r="V12" s="16" t="s">
        <v>29</v>
      </c>
      <c r="W12" s="16" t="s">
        <v>29</v>
      </c>
      <c r="X12" s="16" t="s">
        <v>29</v>
      </c>
      <c r="Y12" s="16" t="s">
        <v>29</v>
      </c>
      <c r="AB12" s="9" t="s">
        <v>29</v>
      </c>
      <c r="AC12" s="9" t="s">
        <v>29</v>
      </c>
      <c r="AD12">
        <f>SUM(G12:I12)</f>
        <v>6</v>
      </c>
      <c r="AE12">
        <f>SUM(J12:K12)</f>
        <v>4</v>
      </c>
      <c r="AF12">
        <f>ABS(L12-M12)</f>
        <v>3</v>
      </c>
      <c r="AG12">
        <f>AVERAGE(L12:M12)</f>
        <v>26.5</v>
      </c>
      <c r="AI12">
        <f>MAX(L12:M12)</f>
        <v>28</v>
      </c>
      <c r="AJ12">
        <f>MIN(L12:M12)</f>
        <v>25</v>
      </c>
      <c r="AK12" t="s">
        <v>29</v>
      </c>
      <c r="AM12" s="16" t="s">
        <v>29</v>
      </c>
      <c r="AN12" s="16" t="s">
        <v>29</v>
      </c>
      <c r="AO12" s="16" t="s">
        <v>29</v>
      </c>
      <c r="AP12" s="16" t="s">
        <v>29</v>
      </c>
      <c r="AQ12" t="str">
        <f t="shared" si="0"/>
        <v>NA</v>
      </c>
      <c r="AR12" t="str">
        <f t="shared" si="1"/>
        <v>NA</v>
      </c>
    </row>
    <row r="13" spans="1:44" ht="15.75" customHeight="1" x14ac:dyDescent="0.3">
      <c r="A13" s="1">
        <v>8</v>
      </c>
      <c r="B13" s="2" t="s">
        <v>26</v>
      </c>
      <c r="C13" s="3">
        <v>14</v>
      </c>
      <c r="D13" s="3">
        <v>2</v>
      </c>
      <c r="E13" s="3" t="s">
        <v>27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P13" s="9" t="s">
        <v>29</v>
      </c>
      <c r="Q13" s="9" t="s">
        <v>29</v>
      </c>
      <c r="R13" s="9" t="s">
        <v>29</v>
      </c>
      <c r="S13" s="9" t="s">
        <v>29</v>
      </c>
      <c r="T13" s="9" t="s">
        <v>29</v>
      </c>
      <c r="U13" s="9" t="s">
        <v>29</v>
      </c>
      <c r="V13" s="16" t="s">
        <v>29</v>
      </c>
      <c r="W13" s="16" t="s">
        <v>29</v>
      </c>
      <c r="X13" s="16" t="s">
        <v>29</v>
      </c>
      <c r="Y13" s="16" t="s">
        <v>29</v>
      </c>
      <c r="AB13" s="9" t="s">
        <v>29</v>
      </c>
      <c r="AC13" s="9" t="s">
        <v>29</v>
      </c>
      <c r="AD13" s="3" t="s">
        <v>29</v>
      </c>
      <c r="AE13" s="3" t="s">
        <v>29</v>
      </c>
      <c r="AF13" s="3" t="s">
        <v>29</v>
      </c>
      <c r="AG13" s="3" t="s">
        <v>29</v>
      </c>
      <c r="AH13" s="3" t="s">
        <v>29</v>
      </c>
      <c r="AI13" s="3" t="s">
        <v>29</v>
      </c>
      <c r="AJ13" s="3" t="s">
        <v>29</v>
      </c>
      <c r="AK13" s="3" t="s">
        <v>29</v>
      </c>
      <c r="AM13" s="16" t="s">
        <v>29</v>
      </c>
      <c r="AN13" s="16" t="s">
        <v>29</v>
      </c>
      <c r="AO13" s="16" t="s">
        <v>29</v>
      </c>
      <c r="AP13" s="16" t="s">
        <v>29</v>
      </c>
      <c r="AQ13" t="str">
        <f t="shared" si="0"/>
        <v>NA</v>
      </c>
      <c r="AR13" t="str">
        <f t="shared" si="1"/>
        <v>NA</v>
      </c>
    </row>
    <row r="14" spans="1:44" ht="15.75" customHeight="1" x14ac:dyDescent="0.3">
      <c r="A14" s="1">
        <v>8</v>
      </c>
      <c r="B14" s="2" t="s">
        <v>26</v>
      </c>
      <c r="C14" s="3">
        <v>21</v>
      </c>
      <c r="D14" s="3">
        <v>3</v>
      </c>
      <c r="E14" s="3" t="s">
        <v>27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P14" s="9" t="s">
        <v>29</v>
      </c>
      <c r="Q14" s="9" t="s">
        <v>29</v>
      </c>
      <c r="R14" s="9" t="s">
        <v>29</v>
      </c>
      <c r="S14" s="9" t="s">
        <v>29</v>
      </c>
      <c r="T14" s="9" t="s">
        <v>29</v>
      </c>
      <c r="U14" s="9" t="s">
        <v>29</v>
      </c>
      <c r="V14" s="16" t="s">
        <v>29</v>
      </c>
      <c r="W14" s="16" t="s">
        <v>29</v>
      </c>
      <c r="X14" s="16" t="s">
        <v>29</v>
      </c>
      <c r="Y14" s="16" t="s">
        <v>29</v>
      </c>
      <c r="AB14" s="9" t="s">
        <v>29</v>
      </c>
      <c r="AC14" s="9" t="s">
        <v>29</v>
      </c>
      <c r="AD14" s="3" t="s">
        <v>29</v>
      </c>
      <c r="AE14" s="3" t="s">
        <v>29</v>
      </c>
      <c r="AF14" s="3" t="s">
        <v>29</v>
      </c>
      <c r="AG14" s="3" t="s">
        <v>29</v>
      </c>
      <c r="AH14" s="3" t="s">
        <v>29</v>
      </c>
      <c r="AI14" s="3" t="s">
        <v>29</v>
      </c>
      <c r="AJ14" s="3" t="s">
        <v>29</v>
      </c>
      <c r="AK14" s="3" t="s">
        <v>29</v>
      </c>
      <c r="AM14" s="16" t="s">
        <v>29</v>
      </c>
      <c r="AN14" s="16" t="s">
        <v>29</v>
      </c>
      <c r="AO14" s="16" t="s">
        <v>29</v>
      </c>
      <c r="AP14" s="16" t="s">
        <v>29</v>
      </c>
      <c r="AQ14" t="str">
        <f t="shared" si="0"/>
        <v>NA</v>
      </c>
      <c r="AR14" t="str">
        <f t="shared" si="1"/>
        <v>NA</v>
      </c>
    </row>
    <row r="15" spans="1:44" ht="15.75" customHeight="1" x14ac:dyDescent="0.3">
      <c r="A15" s="1">
        <v>8</v>
      </c>
      <c r="B15" s="2" t="s">
        <v>26</v>
      </c>
      <c r="C15" s="3">
        <v>28</v>
      </c>
      <c r="D15" s="3">
        <v>4</v>
      </c>
      <c r="E15" s="3" t="s">
        <v>27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P15" s="9" t="s">
        <v>29</v>
      </c>
      <c r="Q15" s="9" t="s">
        <v>29</v>
      </c>
      <c r="R15" s="9" t="s">
        <v>29</v>
      </c>
      <c r="S15" s="9" t="s">
        <v>29</v>
      </c>
      <c r="T15" s="9" t="s">
        <v>29</v>
      </c>
      <c r="U15" s="9" t="s">
        <v>29</v>
      </c>
      <c r="V15" s="16" t="s">
        <v>29</v>
      </c>
      <c r="W15" s="16" t="s">
        <v>29</v>
      </c>
      <c r="X15" s="16" t="s">
        <v>29</v>
      </c>
      <c r="Y15" s="16" t="s">
        <v>29</v>
      </c>
      <c r="AB15" s="9" t="s">
        <v>29</v>
      </c>
      <c r="AC15" s="9" t="s">
        <v>29</v>
      </c>
      <c r="AD15" s="3" t="s">
        <v>29</v>
      </c>
      <c r="AE15" s="3" t="s">
        <v>29</v>
      </c>
      <c r="AF15" s="3" t="s">
        <v>29</v>
      </c>
      <c r="AG15" s="3" t="s">
        <v>29</v>
      </c>
      <c r="AH15" s="3" t="s">
        <v>29</v>
      </c>
      <c r="AI15" s="3" t="s">
        <v>29</v>
      </c>
      <c r="AJ15" s="3" t="s">
        <v>29</v>
      </c>
      <c r="AK15" s="3" t="s">
        <v>29</v>
      </c>
      <c r="AM15" s="16" t="s">
        <v>29</v>
      </c>
      <c r="AN15" s="16" t="s">
        <v>29</v>
      </c>
      <c r="AO15" s="16" t="s">
        <v>29</v>
      </c>
      <c r="AP15" s="16" t="s">
        <v>29</v>
      </c>
      <c r="AQ15" t="str">
        <f t="shared" si="0"/>
        <v>NA</v>
      </c>
      <c r="AR15" t="str">
        <f t="shared" si="1"/>
        <v>NA</v>
      </c>
    </row>
    <row r="16" spans="1:44" ht="15.75" customHeight="1" x14ac:dyDescent="0.3">
      <c r="A16" s="1">
        <v>8</v>
      </c>
      <c r="B16" s="2" t="s">
        <v>26</v>
      </c>
      <c r="C16" s="3">
        <v>35</v>
      </c>
      <c r="D16" s="3">
        <v>5</v>
      </c>
      <c r="E16" s="3" t="s">
        <v>27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  <c r="V16" s="16" t="s">
        <v>29</v>
      </c>
      <c r="W16" s="16" t="s">
        <v>29</v>
      </c>
      <c r="X16" s="16" t="s">
        <v>29</v>
      </c>
      <c r="Y16" s="16" t="s">
        <v>29</v>
      </c>
      <c r="AB16" s="9" t="s">
        <v>29</v>
      </c>
      <c r="AC16" s="9" t="s">
        <v>29</v>
      </c>
      <c r="AD16" s="3" t="s">
        <v>29</v>
      </c>
      <c r="AE16" s="3" t="s">
        <v>29</v>
      </c>
      <c r="AF16" s="3" t="s">
        <v>29</v>
      </c>
      <c r="AG16" s="3" t="s">
        <v>29</v>
      </c>
      <c r="AH16" s="3" t="s">
        <v>29</v>
      </c>
      <c r="AI16" s="3" t="s">
        <v>29</v>
      </c>
      <c r="AJ16" s="3" t="s">
        <v>29</v>
      </c>
      <c r="AK16" s="3" t="s">
        <v>29</v>
      </c>
      <c r="AM16" s="16" t="s">
        <v>29</v>
      </c>
      <c r="AN16" s="16" t="s">
        <v>29</v>
      </c>
      <c r="AO16" s="16" t="s">
        <v>29</v>
      </c>
      <c r="AP16" s="16" t="s">
        <v>29</v>
      </c>
      <c r="AQ16" t="str">
        <f t="shared" si="0"/>
        <v>NA</v>
      </c>
      <c r="AR16" t="str">
        <f t="shared" si="1"/>
        <v>NA</v>
      </c>
    </row>
    <row r="17" spans="1:44" ht="15.75" customHeight="1" x14ac:dyDescent="0.3">
      <c r="A17" s="3">
        <v>11</v>
      </c>
      <c r="B17" s="3" t="s">
        <v>45</v>
      </c>
      <c r="C17" s="3">
        <v>7</v>
      </c>
      <c r="D17" s="3">
        <v>1</v>
      </c>
      <c r="E17" s="3" t="s">
        <v>27</v>
      </c>
      <c r="F17" s="2" t="s">
        <v>28</v>
      </c>
      <c r="G17" s="3">
        <v>18</v>
      </c>
      <c r="H17" s="3">
        <v>1</v>
      </c>
      <c r="I17" s="3">
        <v>0</v>
      </c>
      <c r="J17" s="3">
        <v>17</v>
      </c>
      <c r="K17" s="3">
        <v>0</v>
      </c>
      <c r="L17" s="3">
        <v>37</v>
      </c>
      <c r="M17" s="3">
        <v>42</v>
      </c>
      <c r="P17" s="9" t="s">
        <v>29</v>
      </c>
      <c r="Q17" s="9" t="s">
        <v>29</v>
      </c>
      <c r="R17" s="9" t="s">
        <v>29</v>
      </c>
      <c r="S17" s="9" t="s">
        <v>29</v>
      </c>
      <c r="T17" s="9" t="s">
        <v>29</v>
      </c>
      <c r="U17" s="9" t="s">
        <v>29</v>
      </c>
      <c r="V17" s="16" t="s">
        <v>29</v>
      </c>
      <c r="W17" s="16" t="s">
        <v>29</v>
      </c>
      <c r="X17" s="16" t="s">
        <v>29</v>
      </c>
      <c r="Y17" s="16" t="s">
        <v>29</v>
      </c>
      <c r="AB17" s="9" t="s">
        <v>29</v>
      </c>
      <c r="AC17" s="9" t="s">
        <v>29</v>
      </c>
      <c r="AD17">
        <f>SUM(G17:I17)</f>
        <v>19</v>
      </c>
      <c r="AE17">
        <f>SUM(J17:K17)</f>
        <v>17</v>
      </c>
      <c r="AF17">
        <f>ABS(L17-M17)</f>
        <v>5</v>
      </c>
      <c r="AG17">
        <f>AVERAGE(L17:M17)</f>
        <v>39.5</v>
      </c>
      <c r="AI17">
        <f>MAX(L17:M17)</f>
        <v>42</v>
      </c>
      <c r="AJ17">
        <f>MIN(L17:M17)</f>
        <v>37</v>
      </c>
      <c r="AK17" t="s">
        <v>29</v>
      </c>
      <c r="AM17" s="16" t="s">
        <v>29</v>
      </c>
      <c r="AN17" s="16" t="s">
        <v>29</v>
      </c>
      <c r="AO17" s="16" t="s">
        <v>29</v>
      </c>
      <c r="AP17" s="16" t="s">
        <v>29</v>
      </c>
      <c r="AQ17" t="str">
        <f t="shared" si="0"/>
        <v>NA</v>
      </c>
      <c r="AR17" t="str">
        <f t="shared" si="1"/>
        <v>NA</v>
      </c>
    </row>
    <row r="18" spans="1:44" ht="15.75" customHeight="1" x14ac:dyDescent="0.3">
      <c r="A18" s="3">
        <v>11</v>
      </c>
      <c r="B18" s="3" t="s">
        <v>45</v>
      </c>
      <c r="C18" s="3">
        <v>14</v>
      </c>
      <c r="D18" s="3">
        <v>2</v>
      </c>
      <c r="E18" s="3" t="s">
        <v>27</v>
      </c>
      <c r="F18" s="2" t="s">
        <v>28</v>
      </c>
      <c r="G18" s="3">
        <v>7</v>
      </c>
      <c r="H18" s="3">
        <v>0</v>
      </c>
      <c r="I18" s="3">
        <v>1</v>
      </c>
      <c r="J18" s="3">
        <v>6</v>
      </c>
      <c r="K18" s="3">
        <v>0</v>
      </c>
      <c r="L18" s="3">
        <v>20</v>
      </c>
      <c r="M18" s="5">
        <v>11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  <c r="V18" s="16" t="s">
        <v>29</v>
      </c>
      <c r="W18" s="16" t="s">
        <v>29</v>
      </c>
      <c r="X18" s="16" t="s">
        <v>29</v>
      </c>
      <c r="Y18" s="16" t="s">
        <v>29</v>
      </c>
      <c r="AB18" s="9" t="s">
        <v>29</v>
      </c>
      <c r="AC18" s="9" t="s">
        <v>29</v>
      </c>
      <c r="AD18">
        <f>SUM(G18:I18)</f>
        <v>8</v>
      </c>
      <c r="AE18">
        <f>SUM(J18:K18)</f>
        <v>6</v>
      </c>
      <c r="AF18">
        <f>ABS(L18-M18)</f>
        <v>9</v>
      </c>
      <c r="AG18">
        <f>AVERAGE(L18:M18)</f>
        <v>15.5</v>
      </c>
      <c r="AI18">
        <f>MAX(L18:M18)</f>
        <v>20</v>
      </c>
      <c r="AJ18">
        <f>MIN(L18:M18)</f>
        <v>11</v>
      </c>
      <c r="AK18" t="s">
        <v>29</v>
      </c>
      <c r="AM18" s="16" t="s">
        <v>29</v>
      </c>
      <c r="AN18" s="16" t="s">
        <v>29</v>
      </c>
      <c r="AO18" s="16" t="s">
        <v>29</v>
      </c>
      <c r="AP18" s="16" t="s">
        <v>29</v>
      </c>
      <c r="AQ18" t="str">
        <f t="shared" si="0"/>
        <v>NA</v>
      </c>
      <c r="AR18" t="str">
        <f t="shared" si="1"/>
        <v>NA</v>
      </c>
    </row>
    <row r="19" spans="1:44" ht="15.75" customHeight="1" x14ac:dyDescent="0.3">
      <c r="A19" s="3">
        <v>11</v>
      </c>
      <c r="B19" s="3" t="s">
        <v>45</v>
      </c>
      <c r="C19" s="3">
        <v>21</v>
      </c>
      <c r="D19" s="3">
        <v>3</v>
      </c>
      <c r="E19" s="3" t="s">
        <v>27</v>
      </c>
      <c r="F19" s="2" t="s">
        <v>28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10</v>
      </c>
      <c r="M19" s="3">
        <v>14</v>
      </c>
      <c r="P19" s="9" t="s">
        <v>29</v>
      </c>
      <c r="Q19" s="9" t="s">
        <v>29</v>
      </c>
      <c r="R19" s="9" t="s">
        <v>29</v>
      </c>
      <c r="S19" s="9" t="s">
        <v>29</v>
      </c>
      <c r="T19" s="9" t="s">
        <v>29</v>
      </c>
      <c r="U19" s="9" t="s">
        <v>29</v>
      </c>
      <c r="V19" s="16" t="s">
        <v>29</v>
      </c>
      <c r="W19" s="16" t="s">
        <v>29</v>
      </c>
      <c r="X19" s="16" t="s">
        <v>29</v>
      </c>
      <c r="Y19" s="16" t="s">
        <v>29</v>
      </c>
      <c r="AB19" s="9" t="s">
        <v>29</v>
      </c>
      <c r="AC19" s="9" t="s">
        <v>29</v>
      </c>
      <c r="AD19">
        <f>SUM(G19:I19)</f>
        <v>0</v>
      </c>
      <c r="AE19">
        <f>SUM(J19:K19)</f>
        <v>0</v>
      </c>
      <c r="AF19">
        <f>ABS(L19-M19)</f>
        <v>4</v>
      </c>
      <c r="AG19">
        <f>AVERAGE(L19:M19)</f>
        <v>12</v>
      </c>
      <c r="AI19">
        <f>MAX(L19:M19)</f>
        <v>14</v>
      </c>
      <c r="AJ19">
        <f>MIN(L19:M19)</f>
        <v>10</v>
      </c>
      <c r="AK19" t="s">
        <v>29</v>
      </c>
      <c r="AM19" s="16" t="s">
        <v>29</v>
      </c>
      <c r="AN19" s="16" t="s">
        <v>29</v>
      </c>
      <c r="AO19" s="16" t="s">
        <v>29</v>
      </c>
      <c r="AP19" s="16" t="s">
        <v>29</v>
      </c>
      <c r="AQ19" t="str">
        <f t="shared" si="0"/>
        <v>NA</v>
      </c>
      <c r="AR19" t="str">
        <f t="shared" si="1"/>
        <v>NA</v>
      </c>
    </row>
    <row r="20" spans="1:44" ht="15.75" customHeight="1" x14ac:dyDescent="0.3">
      <c r="A20" s="3">
        <v>11</v>
      </c>
      <c r="B20" s="3" t="s">
        <v>45</v>
      </c>
      <c r="C20" s="3">
        <v>28</v>
      </c>
      <c r="D20" s="3">
        <v>4</v>
      </c>
      <c r="E20" s="3" t="s">
        <v>27</v>
      </c>
      <c r="F20" s="2" t="s">
        <v>31</v>
      </c>
      <c r="P20" s="10">
        <v>3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3">
        <v>0</v>
      </c>
      <c r="W20" s="3">
        <v>3</v>
      </c>
      <c r="X20" s="3">
        <v>0</v>
      </c>
      <c r="Y20" s="3">
        <v>0</v>
      </c>
      <c r="AB20" s="10">
        <v>25</v>
      </c>
      <c r="AC20" s="10">
        <v>11</v>
      </c>
      <c r="AD20">
        <f>SUM(P20:U20)</f>
        <v>3</v>
      </c>
      <c r="AE20">
        <f>SUM(V20:Y20)</f>
        <v>3</v>
      </c>
      <c r="AF20">
        <f>ABS(AB20-AC20)</f>
        <v>14</v>
      </c>
      <c r="AG20">
        <f>AVERAGE(AB20:AC20)</f>
        <v>18</v>
      </c>
      <c r="AI20">
        <f>MAX(AB20:AC20)</f>
        <v>25</v>
      </c>
      <c r="AJ20">
        <f>MIN(AB20:AC20)</f>
        <v>11</v>
      </c>
      <c r="AK20" t="s">
        <v>29</v>
      </c>
      <c r="AM20" s="17">
        <f>SUM(P20,R20,T20)</f>
        <v>3</v>
      </c>
      <c r="AN20" s="17">
        <f>SUM(Q20,S20,U20)</f>
        <v>0</v>
      </c>
      <c r="AO20" s="17">
        <f>SUM(V20,X20)</f>
        <v>0</v>
      </c>
      <c r="AP20" s="17">
        <f>SUM(W20,Y20)</f>
        <v>3</v>
      </c>
      <c r="AQ20">
        <f t="shared" si="0"/>
        <v>25</v>
      </c>
      <c r="AR20">
        <f t="shared" si="1"/>
        <v>11</v>
      </c>
    </row>
    <row r="21" spans="1:44" ht="15.75" customHeight="1" x14ac:dyDescent="0.3">
      <c r="A21" s="3">
        <v>11</v>
      </c>
      <c r="B21" s="3" t="s">
        <v>45</v>
      </c>
      <c r="C21" s="3">
        <v>35</v>
      </c>
      <c r="D21" s="3">
        <v>5</v>
      </c>
      <c r="E21" s="3" t="s">
        <v>27</v>
      </c>
      <c r="F21" s="2" t="s">
        <v>31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3">
        <v>0</v>
      </c>
      <c r="W21" s="3">
        <v>0</v>
      </c>
      <c r="X21" s="3">
        <v>0</v>
      </c>
      <c r="Y21" s="3">
        <v>0</v>
      </c>
      <c r="AB21" s="10">
        <v>28</v>
      </c>
      <c r="AC21" s="10">
        <v>13</v>
      </c>
      <c r="AD21">
        <f>SUM(P21:U21)</f>
        <v>0</v>
      </c>
      <c r="AE21">
        <f>SUM(V21:Y21)</f>
        <v>0</v>
      </c>
      <c r="AF21">
        <f>ABS(AB21-AC21)</f>
        <v>15</v>
      </c>
      <c r="AG21">
        <f>AVERAGE(AB21:AC21)</f>
        <v>20.5</v>
      </c>
      <c r="AI21">
        <f>MAX(AB21:AC21)</f>
        <v>28</v>
      </c>
      <c r="AJ21">
        <f>MIN(AB21:AC21)</f>
        <v>13</v>
      </c>
      <c r="AK21" t="s">
        <v>29</v>
      </c>
      <c r="AM21" s="17">
        <f>SUM(P21,R21,T21)</f>
        <v>0</v>
      </c>
      <c r="AN21" s="17">
        <f>SUM(Q21,S21,U21)</f>
        <v>0</v>
      </c>
      <c r="AO21" s="17">
        <f>SUM(V21,X21)</f>
        <v>0</v>
      </c>
      <c r="AP21" s="17">
        <f>SUM(W21,Y21)</f>
        <v>0</v>
      </c>
      <c r="AQ21">
        <f t="shared" si="0"/>
        <v>28</v>
      </c>
      <c r="AR21">
        <f t="shared" si="1"/>
        <v>13</v>
      </c>
    </row>
    <row r="22" spans="1:44" ht="15.75" customHeight="1" x14ac:dyDescent="0.25">
      <c r="A22" s="3">
        <v>5</v>
      </c>
      <c r="B22" s="3" t="s">
        <v>36</v>
      </c>
      <c r="C22" s="3">
        <v>7</v>
      </c>
      <c r="D22" s="3">
        <v>1</v>
      </c>
      <c r="E22" s="3" t="s">
        <v>27</v>
      </c>
      <c r="F22" s="3" t="s">
        <v>28</v>
      </c>
      <c r="G22" s="3">
        <v>5</v>
      </c>
      <c r="H22" s="3">
        <v>0</v>
      </c>
      <c r="I22" s="3">
        <v>0</v>
      </c>
      <c r="J22" s="3">
        <v>5</v>
      </c>
      <c r="K22" s="3">
        <v>0</v>
      </c>
      <c r="L22" s="3">
        <v>31</v>
      </c>
      <c r="M22" s="3">
        <v>26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9" t="s">
        <v>29</v>
      </c>
      <c r="V22" s="16" t="s">
        <v>29</v>
      </c>
      <c r="W22" s="16" t="s">
        <v>29</v>
      </c>
      <c r="X22" s="16" t="s">
        <v>29</v>
      </c>
      <c r="Y22" s="16" t="s">
        <v>29</v>
      </c>
      <c r="AB22" s="9" t="s">
        <v>29</v>
      </c>
      <c r="AC22" s="9" t="s">
        <v>29</v>
      </c>
      <c r="AD22">
        <f>SUM(G22:I22)</f>
        <v>5</v>
      </c>
      <c r="AE22">
        <f>SUM(J22:K22)</f>
        <v>5</v>
      </c>
      <c r="AF22">
        <f>ABS(L22-M22)</f>
        <v>5</v>
      </c>
      <c r="AG22">
        <f>AVERAGE(L22:M22)</f>
        <v>28.5</v>
      </c>
      <c r="AI22">
        <f>MAX(L22:M22)</f>
        <v>31</v>
      </c>
      <c r="AJ22">
        <f>MIN(L22:M22)</f>
        <v>26</v>
      </c>
      <c r="AK22" t="s">
        <v>29</v>
      </c>
      <c r="AM22" s="16" t="s">
        <v>29</v>
      </c>
      <c r="AN22" s="16" t="s">
        <v>29</v>
      </c>
      <c r="AO22" s="16" t="s">
        <v>29</v>
      </c>
      <c r="AP22" s="16" t="s">
        <v>29</v>
      </c>
      <c r="AQ22" t="str">
        <f t="shared" si="0"/>
        <v>NA</v>
      </c>
      <c r="AR22" t="str">
        <f t="shared" si="1"/>
        <v>NA</v>
      </c>
    </row>
    <row r="23" spans="1:44" ht="15.75" customHeight="1" x14ac:dyDescent="0.25">
      <c r="A23" s="3">
        <v>5</v>
      </c>
      <c r="B23" s="3" t="s">
        <v>36</v>
      </c>
      <c r="C23" s="3">
        <v>14</v>
      </c>
      <c r="D23" s="3">
        <v>2</v>
      </c>
      <c r="E23" s="3" t="s">
        <v>27</v>
      </c>
      <c r="F23" s="3" t="s">
        <v>28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14</v>
      </c>
      <c r="M23" s="3">
        <v>10</v>
      </c>
      <c r="P23" s="9" t="s">
        <v>29</v>
      </c>
      <c r="Q23" s="9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16" t="s">
        <v>29</v>
      </c>
      <c r="W23" s="16" t="s">
        <v>29</v>
      </c>
      <c r="X23" s="16" t="s">
        <v>29</v>
      </c>
      <c r="Y23" s="16" t="s">
        <v>29</v>
      </c>
      <c r="AB23" s="9" t="s">
        <v>29</v>
      </c>
      <c r="AC23" s="9" t="s">
        <v>29</v>
      </c>
      <c r="AD23">
        <f>SUM(G23:I23)</f>
        <v>0</v>
      </c>
      <c r="AE23">
        <f>SUM(J23:K23)</f>
        <v>0</v>
      </c>
      <c r="AF23">
        <f>ABS(L23-M23)</f>
        <v>4</v>
      </c>
      <c r="AG23">
        <f>AVERAGE(L23:M23)</f>
        <v>12</v>
      </c>
      <c r="AI23">
        <f>MAX(L23:M23)</f>
        <v>14</v>
      </c>
      <c r="AJ23">
        <f>MIN(L23:M23)</f>
        <v>10</v>
      </c>
      <c r="AK23" t="s">
        <v>29</v>
      </c>
      <c r="AM23" s="16" t="s">
        <v>29</v>
      </c>
      <c r="AN23" s="16" t="s">
        <v>29</v>
      </c>
      <c r="AO23" s="16" t="s">
        <v>29</v>
      </c>
      <c r="AP23" s="16" t="s">
        <v>29</v>
      </c>
      <c r="AQ23" t="str">
        <f t="shared" si="0"/>
        <v>NA</v>
      </c>
      <c r="AR23" t="str">
        <f t="shared" si="1"/>
        <v>NA</v>
      </c>
    </row>
    <row r="24" spans="1:44" ht="13.2" x14ac:dyDescent="0.25">
      <c r="A24" s="3">
        <v>5</v>
      </c>
      <c r="B24" s="3" t="s">
        <v>36</v>
      </c>
      <c r="C24" s="3">
        <v>21</v>
      </c>
      <c r="D24" s="3">
        <v>3</v>
      </c>
      <c r="E24" s="3" t="s">
        <v>27</v>
      </c>
      <c r="F24" s="3" t="s">
        <v>28</v>
      </c>
      <c r="G24" s="3">
        <v>2</v>
      </c>
      <c r="H24" s="3">
        <v>1</v>
      </c>
      <c r="I24" s="3">
        <v>0</v>
      </c>
      <c r="J24" s="3">
        <v>1</v>
      </c>
      <c r="K24" s="3">
        <v>0</v>
      </c>
      <c r="L24" s="3">
        <v>19</v>
      </c>
      <c r="M24" s="3">
        <v>15</v>
      </c>
      <c r="P24" s="9" t="s">
        <v>29</v>
      </c>
      <c r="Q24" s="9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16" t="s">
        <v>29</v>
      </c>
      <c r="W24" s="16" t="s">
        <v>29</v>
      </c>
      <c r="X24" s="16" t="s">
        <v>29</v>
      </c>
      <c r="Y24" s="16" t="s">
        <v>29</v>
      </c>
      <c r="AB24" s="9" t="s">
        <v>29</v>
      </c>
      <c r="AC24" s="9" t="s">
        <v>29</v>
      </c>
      <c r="AD24">
        <f>SUM(G24:I24)</f>
        <v>3</v>
      </c>
      <c r="AE24">
        <f>SUM(J24:K24)</f>
        <v>1</v>
      </c>
      <c r="AF24">
        <f>ABS(L24-M24)</f>
        <v>4</v>
      </c>
      <c r="AG24">
        <f>AVERAGE(L24:M24)</f>
        <v>17</v>
      </c>
      <c r="AI24">
        <f>MAX(L24:M24)</f>
        <v>19</v>
      </c>
      <c r="AJ24">
        <f>MIN(L24:M24)</f>
        <v>15</v>
      </c>
      <c r="AK24" t="s">
        <v>29</v>
      </c>
      <c r="AM24" s="16" t="s">
        <v>29</v>
      </c>
      <c r="AN24" s="16" t="s">
        <v>29</v>
      </c>
      <c r="AO24" s="16" t="s">
        <v>29</v>
      </c>
      <c r="AP24" s="16" t="s">
        <v>29</v>
      </c>
      <c r="AQ24" t="str">
        <f t="shared" si="0"/>
        <v>NA</v>
      </c>
      <c r="AR24" t="str">
        <f t="shared" si="1"/>
        <v>NA</v>
      </c>
    </row>
    <row r="25" spans="1:44" ht="13.2" x14ac:dyDescent="0.25">
      <c r="A25" s="3">
        <v>5</v>
      </c>
      <c r="B25" s="3" t="s">
        <v>36</v>
      </c>
      <c r="C25" s="3">
        <v>28</v>
      </c>
      <c r="D25" s="3">
        <v>4</v>
      </c>
      <c r="E25" s="3" t="s">
        <v>27</v>
      </c>
      <c r="F25" s="3" t="s">
        <v>31</v>
      </c>
      <c r="P25" s="10">
        <v>3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3">
        <v>0</v>
      </c>
      <c r="W25" s="3">
        <v>3</v>
      </c>
      <c r="X25" s="3">
        <v>0</v>
      </c>
      <c r="Y25" s="3">
        <v>0</v>
      </c>
      <c r="AB25" s="10">
        <v>13</v>
      </c>
      <c r="AC25" s="10">
        <v>9</v>
      </c>
      <c r="AD25">
        <f>SUM(P25:U25)</f>
        <v>3</v>
      </c>
      <c r="AE25">
        <f>SUM(V25:Y25)</f>
        <v>3</v>
      </c>
      <c r="AF25">
        <f>ABS(AB25-AC25)</f>
        <v>4</v>
      </c>
      <c r="AG25">
        <f>AVERAGE(AB25:AC25)</f>
        <v>11</v>
      </c>
      <c r="AI25">
        <f>MAX(AB25:AC25)</f>
        <v>13</v>
      </c>
      <c r="AJ25">
        <f>MIN(AB25:AC25)</f>
        <v>9</v>
      </c>
      <c r="AK25" t="s">
        <v>29</v>
      </c>
      <c r="AM25" s="17">
        <f>SUM(P25,R25,T25)</f>
        <v>3</v>
      </c>
      <c r="AN25" s="17">
        <f>SUM(Q25,S25,U25)</f>
        <v>0</v>
      </c>
      <c r="AO25" s="17">
        <f>SUM(V25,X25)</f>
        <v>0</v>
      </c>
      <c r="AP25" s="17">
        <f>SUM(W25,Y25)</f>
        <v>3</v>
      </c>
      <c r="AQ25">
        <f t="shared" si="0"/>
        <v>13</v>
      </c>
      <c r="AR25">
        <f t="shared" si="1"/>
        <v>9</v>
      </c>
    </row>
    <row r="26" spans="1:44" ht="13.2" x14ac:dyDescent="0.25">
      <c r="A26" s="3">
        <v>5</v>
      </c>
      <c r="B26" s="3" t="s">
        <v>36</v>
      </c>
      <c r="C26" s="3">
        <v>35</v>
      </c>
      <c r="D26" s="3">
        <v>5</v>
      </c>
      <c r="E26" s="3" t="s">
        <v>27</v>
      </c>
      <c r="F26" s="3" t="s">
        <v>31</v>
      </c>
      <c r="P26" s="10">
        <v>2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3">
        <v>0</v>
      </c>
      <c r="W26" s="3">
        <v>2</v>
      </c>
      <c r="X26" s="3">
        <v>0</v>
      </c>
      <c r="Y26" s="3">
        <v>0</v>
      </c>
      <c r="AB26" s="10">
        <v>17</v>
      </c>
      <c r="AC26" s="10">
        <v>6</v>
      </c>
      <c r="AD26">
        <f>SUM(P26:U26)</f>
        <v>2</v>
      </c>
      <c r="AE26">
        <f>SUM(V26:Y26)</f>
        <v>2</v>
      </c>
      <c r="AF26">
        <f>ABS(AB26-AC26)</f>
        <v>11</v>
      </c>
      <c r="AG26">
        <f>AVERAGE(AB26:AC26)</f>
        <v>11.5</v>
      </c>
      <c r="AI26">
        <f>MAX(AB26:AC26)</f>
        <v>17</v>
      </c>
      <c r="AJ26">
        <f>MIN(AB26:AC26)</f>
        <v>6</v>
      </c>
      <c r="AK26" t="s">
        <v>29</v>
      </c>
      <c r="AM26" s="17">
        <f>SUM(P26,R26,T26)</f>
        <v>2</v>
      </c>
      <c r="AN26" s="17">
        <f>SUM(Q26,S26,U26)</f>
        <v>0</v>
      </c>
      <c r="AO26" s="17">
        <f>SUM(V26,X26)</f>
        <v>0</v>
      </c>
      <c r="AP26" s="17">
        <f>SUM(W26,Y26)</f>
        <v>2</v>
      </c>
      <c r="AQ26">
        <f t="shared" si="0"/>
        <v>17</v>
      </c>
      <c r="AR26">
        <f t="shared" si="1"/>
        <v>6</v>
      </c>
    </row>
    <row r="27" spans="1:44" ht="14.4" x14ac:dyDescent="0.3">
      <c r="A27" s="3">
        <v>22</v>
      </c>
      <c r="B27" s="3" t="s">
        <v>47</v>
      </c>
      <c r="C27" s="3">
        <v>7</v>
      </c>
      <c r="D27" s="3">
        <v>1</v>
      </c>
      <c r="E27" s="3" t="s">
        <v>27</v>
      </c>
      <c r="F27" s="2" t="s">
        <v>28</v>
      </c>
      <c r="G27" s="3">
        <v>3</v>
      </c>
      <c r="H27" s="3">
        <v>0</v>
      </c>
      <c r="I27" s="3">
        <v>0</v>
      </c>
      <c r="J27" s="3">
        <v>2</v>
      </c>
      <c r="K27" s="3">
        <v>0</v>
      </c>
      <c r="L27" s="3">
        <v>35</v>
      </c>
      <c r="M27" s="3">
        <v>21</v>
      </c>
      <c r="P27" s="9" t="s">
        <v>29</v>
      </c>
      <c r="Q27" s="9" t="s">
        <v>29</v>
      </c>
      <c r="R27" s="9" t="s">
        <v>29</v>
      </c>
      <c r="S27" s="9" t="s">
        <v>29</v>
      </c>
      <c r="T27" s="9" t="s">
        <v>29</v>
      </c>
      <c r="U27" s="9" t="s">
        <v>29</v>
      </c>
      <c r="V27" s="16" t="s">
        <v>29</v>
      </c>
      <c r="W27" s="16" t="s">
        <v>29</v>
      </c>
      <c r="X27" s="16" t="s">
        <v>29</v>
      </c>
      <c r="Y27" s="16" t="s">
        <v>29</v>
      </c>
      <c r="AB27" s="9" t="s">
        <v>29</v>
      </c>
      <c r="AC27" s="9" t="s">
        <v>29</v>
      </c>
      <c r="AD27">
        <f>SUM(G27:I27)</f>
        <v>3</v>
      </c>
      <c r="AE27">
        <f>SUM(J27:K27)</f>
        <v>2</v>
      </c>
      <c r="AF27">
        <f>ABS(L27-M27)</f>
        <v>14</v>
      </c>
      <c r="AG27">
        <f>AVERAGE(L27:M27)</f>
        <v>28</v>
      </c>
      <c r="AI27">
        <f>MAX(L27:M27)</f>
        <v>35</v>
      </c>
      <c r="AJ27">
        <f>MIN(L27:M27)</f>
        <v>21</v>
      </c>
      <c r="AK27" t="s">
        <v>29</v>
      </c>
      <c r="AM27" s="16" t="s">
        <v>29</v>
      </c>
      <c r="AN27" s="16" t="s">
        <v>29</v>
      </c>
      <c r="AO27" s="16" t="s">
        <v>29</v>
      </c>
      <c r="AP27" s="16" t="s">
        <v>29</v>
      </c>
      <c r="AQ27" t="str">
        <f t="shared" si="0"/>
        <v>NA</v>
      </c>
      <c r="AR27" t="str">
        <f t="shared" si="1"/>
        <v>NA</v>
      </c>
    </row>
    <row r="28" spans="1:44" ht="13.2" x14ac:dyDescent="0.25">
      <c r="A28" s="3">
        <v>22</v>
      </c>
      <c r="B28" s="3" t="s">
        <v>47</v>
      </c>
      <c r="C28" s="3">
        <v>14</v>
      </c>
      <c r="D28" s="3">
        <v>2</v>
      </c>
      <c r="E28" s="3" t="s">
        <v>27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P28" s="9" t="s">
        <v>29</v>
      </c>
      <c r="Q28" s="9" t="s">
        <v>29</v>
      </c>
      <c r="R28" s="9" t="s">
        <v>29</v>
      </c>
      <c r="S28" s="9" t="s">
        <v>29</v>
      </c>
      <c r="T28" s="9" t="s">
        <v>29</v>
      </c>
      <c r="U28" s="9" t="s">
        <v>29</v>
      </c>
      <c r="V28" s="16" t="s">
        <v>29</v>
      </c>
      <c r="W28" s="16" t="s">
        <v>29</v>
      </c>
      <c r="X28" s="16" t="s">
        <v>29</v>
      </c>
      <c r="Y28" s="16" t="s">
        <v>29</v>
      </c>
      <c r="AB28" s="9" t="s">
        <v>29</v>
      </c>
      <c r="AC28" s="9" t="s">
        <v>29</v>
      </c>
      <c r="AD28" s="3" t="s">
        <v>29</v>
      </c>
      <c r="AE28" s="3" t="s">
        <v>29</v>
      </c>
      <c r="AF28" s="3" t="s">
        <v>29</v>
      </c>
      <c r="AG28" s="3" t="s">
        <v>29</v>
      </c>
      <c r="AH28" s="3" t="s">
        <v>29</v>
      </c>
      <c r="AI28" s="3" t="s">
        <v>29</v>
      </c>
      <c r="AJ28" s="3" t="s">
        <v>29</v>
      </c>
      <c r="AK28" s="3" t="s">
        <v>29</v>
      </c>
      <c r="AM28" s="16" t="s">
        <v>29</v>
      </c>
      <c r="AN28" s="16" t="s">
        <v>29</v>
      </c>
      <c r="AO28" s="16" t="s">
        <v>29</v>
      </c>
      <c r="AP28" s="16" t="s">
        <v>29</v>
      </c>
      <c r="AQ28" t="str">
        <f t="shared" si="0"/>
        <v>NA</v>
      </c>
      <c r="AR28" t="str">
        <f t="shared" si="1"/>
        <v>NA</v>
      </c>
    </row>
    <row r="29" spans="1:44" ht="14.4" x14ac:dyDescent="0.3">
      <c r="A29" s="3">
        <v>22</v>
      </c>
      <c r="B29" s="3" t="s">
        <v>47</v>
      </c>
      <c r="C29" s="3">
        <v>21</v>
      </c>
      <c r="D29" s="3">
        <v>3</v>
      </c>
      <c r="E29" s="3" t="s">
        <v>27</v>
      </c>
      <c r="F29" s="2" t="s">
        <v>28</v>
      </c>
      <c r="G29" s="3">
        <v>8</v>
      </c>
      <c r="H29" s="3">
        <v>1</v>
      </c>
      <c r="I29" s="3">
        <v>1</v>
      </c>
      <c r="J29" s="3">
        <v>4</v>
      </c>
      <c r="K29" s="3">
        <v>0</v>
      </c>
      <c r="L29" s="3">
        <v>29</v>
      </c>
      <c r="M29" s="3">
        <v>33</v>
      </c>
      <c r="P29" s="9" t="s">
        <v>29</v>
      </c>
      <c r="Q29" s="9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16" t="s">
        <v>29</v>
      </c>
      <c r="W29" s="16" t="s">
        <v>29</v>
      </c>
      <c r="X29" s="16" t="s">
        <v>29</v>
      </c>
      <c r="Y29" s="16" t="s">
        <v>29</v>
      </c>
      <c r="AB29" s="9" t="s">
        <v>29</v>
      </c>
      <c r="AC29" s="9" t="s">
        <v>29</v>
      </c>
      <c r="AD29">
        <f>SUM(G29:I29)</f>
        <v>10</v>
      </c>
      <c r="AE29">
        <f>SUM(J29:K29)</f>
        <v>4</v>
      </c>
      <c r="AF29">
        <f>ABS(L29-M29)</f>
        <v>4</v>
      </c>
      <c r="AG29">
        <f>AVERAGE(L29:M29)</f>
        <v>31</v>
      </c>
      <c r="AI29">
        <f>MAX(L29:M29)</f>
        <v>33</v>
      </c>
      <c r="AJ29">
        <f>MIN(L29:M29)</f>
        <v>29</v>
      </c>
      <c r="AK29" t="s">
        <v>29</v>
      </c>
      <c r="AL29" s="3" t="s">
        <v>35</v>
      </c>
      <c r="AM29" s="16" t="s">
        <v>29</v>
      </c>
      <c r="AN29" s="16" t="s">
        <v>29</v>
      </c>
      <c r="AO29" s="16" t="s">
        <v>29</v>
      </c>
      <c r="AP29" s="16" t="s">
        <v>29</v>
      </c>
      <c r="AQ29" t="str">
        <f t="shared" si="0"/>
        <v>NA</v>
      </c>
      <c r="AR29" t="str">
        <f t="shared" si="1"/>
        <v>NA</v>
      </c>
    </row>
    <row r="30" spans="1:44" ht="14.4" x14ac:dyDescent="0.3">
      <c r="A30" s="3">
        <v>22</v>
      </c>
      <c r="B30" s="3" t="s">
        <v>47</v>
      </c>
      <c r="C30" s="3">
        <v>28</v>
      </c>
      <c r="D30" s="3">
        <v>4</v>
      </c>
      <c r="E30" s="3" t="s">
        <v>27</v>
      </c>
      <c r="F30" s="2" t="s">
        <v>28</v>
      </c>
      <c r="G30">
        <v>5</v>
      </c>
      <c r="H30">
        <v>0</v>
      </c>
      <c r="I30">
        <v>0</v>
      </c>
      <c r="J30">
        <v>2</v>
      </c>
      <c r="K30">
        <v>0</v>
      </c>
      <c r="L30" s="3">
        <v>27</v>
      </c>
      <c r="M30">
        <v>22</v>
      </c>
      <c r="P30" s="9" t="s">
        <v>29</v>
      </c>
      <c r="Q30" s="9" t="s">
        <v>29</v>
      </c>
      <c r="R30" s="9" t="s">
        <v>29</v>
      </c>
      <c r="S30" s="9" t="s">
        <v>29</v>
      </c>
      <c r="T30" s="9" t="s">
        <v>29</v>
      </c>
      <c r="U30" s="9" t="s">
        <v>29</v>
      </c>
      <c r="V30" s="16" t="s">
        <v>29</v>
      </c>
      <c r="W30" s="16" t="s">
        <v>29</v>
      </c>
      <c r="X30" s="16" t="s">
        <v>29</v>
      </c>
      <c r="Y30" s="16" t="s">
        <v>29</v>
      </c>
      <c r="AB30" s="9" t="s">
        <v>29</v>
      </c>
      <c r="AC30" s="9" t="s">
        <v>29</v>
      </c>
      <c r="AD30">
        <f>SUM(G30:I30)</f>
        <v>5</v>
      </c>
      <c r="AE30">
        <f>SUM(J30:K30)</f>
        <v>2</v>
      </c>
      <c r="AF30">
        <f>ABS(L30-M30)</f>
        <v>5</v>
      </c>
      <c r="AG30">
        <f>AVERAGE(L30:M30)</f>
        <v>24.5</v>
      </c>
      <c r="AI30">
        <f>MAX(L30:M30)</f>
        <v>27</v>
      </c>
      <c r="AJ30">
        <f>MIN(L30:M30)</f>
        <v>22</v>
      </c>
      <c r="AK30" t="s">
        <v>29</v>
      </c>
      <c r="AM30" s="16" t="s">
        <v>29</v>
      </c>
      <c r="AN30" s="16" t="s">
        <v>29</v>
      </c>
      <c r="AO30" s="16" t="s">
        <v>29</v>
      </c>
      <c r="AP30" s="16" t="s">
        <v>29</v>
      </c>
      <c r="AQ30" t="str">
        <f t="shared" si="0"/>
        <v>NA</v>
      </c>
      <c r="AR30" t="str">
        <f t="shared" si="1"/>
        <v>NA</v>
      </c>
    </row>
    <row r="31" spans="1:44" ht="14.4" x14ac:dyDescent="0.3">
      <c r="A31" s="3">
        <v>22</v>
      </c>
      <c r="B31" s="3" t="s">
        <v>47</v>
      </c>
      <c r="C31" s="3">
        <v>35</v>
      </c>
      <c r="D31" s="3">
        <v>5</v>
      </c>
      <c r="E31" s="3" t="s">
        <v>27</v>
      </c>
      <c r="F31" s="2" t="s">
        <v>28</v>
      </c>
      <c r="G31" s="3">
        <v>2</v>
      </c>
      <c r="H31" s="3">
        <v>0</v>
      </c>
      <c r="I31" s="3">
        <v>0</v>
      </c>
      <c r="J31" s="3">
        <v>2</v>
      </c>
      <c r="K31" s="3">
        <v>0</v>
      </c>
      <c r="L31" s="3">
        <v>21</v>
      </c>
      <c r="M31" s="3">
        <v>13</v>
      </c>
      <c r="P31" s="9" t="s">
        <v>29</v>
      </c>
      <c r="Q31" s="9" t="s">
        <v>29</v>
      </c>
      <c r="R31" s="9" t="s">
        <v>29</v>
      </c>
      <c r="S31" s="9" t="s">
        <v>29</v>
      </c>
      <c r="T31" s="9" t="s">
        <v>29</v>
      </c>
      <c r="U31" s="9" t="s">
        <v>29</v>
      </c>
      <c r="V31" s="16" t="s">
        <v>29</v>
      </c>
      <c r="W31" s="16" t="s">
        <v>29</v>
      </c>
      <c r="X31" s="16" t="s">
        <v>29</v>
      </c>
      <c r="Y31" s="16" t="s">
        <v>29</v>
      </c>
      <c r="AB31" s="9" t="s">
        <v>29</v>
      </c>
      <c r="AC31" s="9" t="s">
        <v>29</v>
      </c>
      <c r="AD31">
        <f>SUM(G31:I31)</f>
        <v>2</v>
      </c>
      <c r="AE31">
        <f>SUM(J31:K31)</f>
        <v>2</v>
      </c>
      <c r="AF31">
        <f>ABS(L31-M31)</f>
        <v>8</v>
      </c>
      <c r="AG31">
        <f>AVERAGE(L31:M31)</f>
        <v>17</v>
      </c>
      <c r="AI31">
        <f>MAX(L31:M31)</f>
        <v>21</v>
      </c>
      <c r="AJ31">
        <f>MIN(L31:M31)</f>
        <v>13</v>
      </c>
      <c r="AK31" t="s">
        <v>29</v>
      </c>
      <c r="AM31" s="16" t="s">
        <v>29</v>
      </c>
      <c r="AN31" s="16" t="s">
        <v>29</v>
      </c>
      <c r="AO31" s="16" t="s">
        <v>29</v>
      </c>
      <c r="AP31" s="16" t="s">
        <v>29</v>
      </c>
      <c r="AQ31" t="str">
        <f t="shared" si="0"/>
        <v>NA</v>
      </c>
      <c r="AR31" t="str">
        <f t="shared" si="1"/>
        <v>NA</v>
      </c>
    </row>
    <row r="32" spans="1:44" ht="13.2" x14ac:dyDescent="0.25">
      <c r="A32" s="3">
        <v>12</v>
      </c>
      <c r="B32" s="3" t="s">
        <v>37</v>
      </c>
      <c r="C32" s="3">
        <v>7</v>
      </c>
      <c r="D32" s="3">
        <v>1</v>
      </c>
      <c r="E32" s="3" t="s">
        <v>27</v>
      </c>
      <c r="F32" s="3" t="s">
        <v>28</v>
      </c>
      <c r="G32" s="3">
        <v>5</v>
      </c>
      <c r="H32" s="3">
        <v>0</v>
      </c>
      <c r="I32" s="3">
        <v>0</v>
      </c>
      <c r="J32" s="3">
        <v>10</v>
      </c>
      <c r="K32" s="3">
        <v>0</v>
      </c>
      <c r="L32" s="3">
        <v>28</v>
      </c>
      <c r="M32" s="3">
        <v>19</v>
      </c>
      <c r="P32" s="9" t="s">
        <v>29</v>
      </c>
      <c r="Q32" s="9" t="s">
        <v>29</v>
      </c>
      <c r="R32" s="9" t="s">
        <v>29</v>
      </c>
      <c r="S32" s="9" t="s">
        <v>29</v>
      </c>
      <c r="T32" s="9" t="s">
        <v>29</v>
      </c>
      <c r="U32" s="9" t="s">
        <v>29</v>
      </c>
      <c r="V32" s="16" t="s">
        <v>29</v>
      </c>
      <c r="W32" s="16" t="s">
        <v>29</v>
      </c>
      <c r="X32" s="16" t="s">
        <v>29</v>
      </c>
      <c r="Y32" s="16" t="s">
        <v>29</v>
      </c>
      <c r="AB32" s="9" t="s">
        <v>29</v>
      </c>
      <c r="AC32" s="9" t="s">
        <v>29</v>
      </c>
      <c r="AD32">
        <f>SUM(G32:I32)</f>
        <v>5</v>
      </c>
      <c r="AE32">
        <f>SUM(J32:K32)</f>
        <v>10</v>
      </c>
      <c r="AF32">
        <f>ABS(L32-M32)</f>
        <v>9</v>
      </c>
      <c r="AG32">
        <f>AVERAGE(L32:M32)</f>
        <v>23.5</v>
      </c>
      <c r="AI32">
        <f>MAX(L32:M32)</f>
        <v>28</v>
      </c>
      <c r="AJ32">
        <f>MIN(L32:M32)</f>
        <v>19</v>
      </c>
      <c r="AK32" t="s">
        <v>29</v>
      </c>
      <c r="AM32" s="16" t="s">
        <v>29</v>
      </c>
      <c r="AN32" s="16" t="s">
        <v>29</v>
      </c>
      <c r="AO32" s="16" t="s">
        <v>29</v>
      </c>
      <c r="AP32" s="16" t="s">
        <v>29</v>
      </c>
      <c r="AQ32" t="str">
        <f t="shared" si="0"/>
        <v>NA</v>
      </c>
      <c r="AR32" t="str">
        <f t="shared" si="1"/>
        <v>NA</v>
      </c>
    </row>
    <row r="33" spans="1:44" ht="13.2" x14ac:dyDescent="0.25">
      <c r="A33" s="3">
        <v>12</v>
      </c>
      <c r="B33" s="3" t="s">
        <v>37</v>
      </c>
      <c r="C33" s="3">
        <v>14</v>
      </c>
      <c r="D33" s="3">
        <v>2</v>
      </c>
      <c r="E33" s="3" t="s">
        <v>27</v>
      </c>
      <c r="F33" s="3" t="s">
        <v>28</v>
      </c>
      <c r="G33" s="3">
        <v>7</v>
      </c>
      <c r="H33" s="3">
        <v>0</v>
      </c>
      <c r="I33" s="3">
        <v>0</v>
      </c>
      <c r="J33" s="3">
        <v>7</v>
      </c>
      <c r="K33" s="3">
        <v>0</v>
      </c>
      <c r="L33" s="3">
        <v>25</v>
      </c>
      <c r="M33" s="3">
        <v>12</v>
      </c>
      <c r="P33" s="9" t="s">
        <v>29</v>
      </c>
      <c r="Q33" s="9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16" t="s">
        <v>29</v>
      </c>
      <c r="W33" s="16" t="s">
        <v>29</v>
      </c>
      <c r="X33" s="16" t="s">
        <v>29</v>
      </c>
      <c r="Y33" s="16" t="s">
        <v>29</v>
      </c>
      <c r="AB33" s="9" t="s">
        <v>29</v>
      </c>
      <c r="AC33" s="9" t="s">
        <v>29</v>
      </c>
      <c r="AD33">
        <f>SUM(G33:I33)</f>
        <v>7</v>
      </c>
      <c r="AE33">
        <f>SUM(J33:K33)</f>
        <v>7</v>
      </c>
      <c r="AF33">
        <f>ABS(L33-M33)</f>
        <v>13</v>
      </c>
      <c r="AG33">
        <f>AVERAGE(L33:M33)</f>
        <v>18.5</v>
      </c>
      <c r="AI33">
        <f>MAX(L33:M33)</f>
        <v>25</v>
      </c>
      <c r="AJ33">
        <f>MIN(L33:M33)</f>
        <v>12</v>
      </c>
      <c r="AK33" t="s">
        <v>29</v>
      </c>
      <c r="AM33" s="16" t="s">
        <v>29</v>
      </c>
      <c r="AN33" s="16" t="s">
        <v>29</v>
      </c>
      <c r="AO33" s="16" t="s">
        <v>29</v>
      </c>
      <c r="AP33" s="16" t="s">
        <v>29</v>
      </c>
      <c r="AQ33" t="str">
        <f t="shared" si="0"/>
        <v>NA</v>
      </c>
      <c r="AR33" t="str">
        <f t="shared" si="1"/>
        <v>NA</v>
      </c>
    </row>
    <row r="34" spans="1:44" ht="13.2" x14ac:dyDescent="0.25">
      <c r="A34" s="3">
        <v>12</v>
      </c>
      <c r="B34" s="3" t="s">
        <v>37</v>
      </c>
      <c r="C34" s="3">
        <v>21</v>
      </c>
      <c r="D34" s="3">
        <v>3</v>
      </c>
      <c r="E34" s="3" t="s">
        <v>27</v>
      </c>
      <c r="F34" s="3" t="s">
        <v>28</v>
      </c>
      <c r="G34" s="3">
        <v>5</v>
      </c>
      <c r="H34" s="3">
        <v>0</v>
      </c>
      <c r="I34" s="3">
        <v>0</v>
      </c>
      <c r="J34" s="3">
        <v>3</v>
      </c>
      <c r="K34" s="3">
        <v>1</v>
      </c>
      <c r="L34" s="3">
        <v>9</v>
      </c>
      <c r="M34" s="3">
        <v>15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9" t="s">
        <v>29</v>
      </c>
      <c r="V34" s="16" t="s">
        <v>29</v>
      </c>
      <c r="W34" s="16" t="s">
        <v>29</v>
      </c>
      <c r="X34" s="16" t="s">
        <v>29</v>
      </c>
      <c r="Y34" s="16" t="s">
        <v>29</v>
      </c>
      <c r="AB34" s="9" t="s">
        <v>29</v>
      </c>
      <c r="AC34" s="9" t="s">
        <v>29</v>
      </c>
      <c r="AD34">
        <f>SUM(G34:I34)</f>
        <v>5</v>
      </c>
      <c r="AE34">
        <f>SUM(J34:K34)</f>
        <v>4</v>
      </c>
      <c r="AF34">
        <f>ABS(L34-M34)</f>
        <v>6</v>
      </c>
      <c r="AG34">
        <f>AVERAGE(L34:M34)</f>
        <v>12</v>
      </c>
      <c r="AI34">
        <f>MAX(L34:M34)</f>
        <v>15</v>
      </c>
      <c r="AJ34">
        <f>MIN(L34:M34)</f>
        <v>9</v>
      </c>
      <c r="AK34" t="s">
        <v>29</v>
      </c>
      <c r="AM34" s="16" t="s">
        <v>29</v>
      </c>
      <c r="AN34" s="16" t="s">
        <v>29</v>
      </c>
      <c r="AO34" s="16" t="s">
        <v>29</v>
      </c>
      <c r="AP34" s="16" t="s">
        <v>29</v>
      </c>
      <c r="AQ34" t="str">
        <f t="shared" si="0"/>
        <v>NA</v>
      </c>
      <c r="AR34" t="str">
        <f t="shared" si="1"/>
        <v>NA</v>
      </c>
    </row>
    <row r="35" spans="1:44" ht="13.2" x14ac:dyDescent="0.25">
      <c r="A35" s="3">
        <v>12</v>
      </c>
      <c r="B35" s="3" t="s">
        <v>37</v>
      </c>
      <c r="C35" s="3">
        <v>28</v>
      </c>
      <c r="D35" s="3">
        <v>4</v>
      </c>
      <c r="E35" s="3" t="s">
        <v>27</v>
      </c>
      <c r="F35" s="3" t="s">
        <v>28</v>
      </c>
      <c r="G35" s="3">
        <v>1</v>
      </c>
      <c r="H35" s="3">
        <v>0</v>
      </c>
      <c r="I35" s="3">
        <v>0</v>
      </c>
      <c r="J35" s="3">
        <v>1</v>
      </c>
      <c r="K35" s="3">
        <v>0</v>
      </c>
      <c r="L35" s="3">
        <v>15</v>
      </c>
      <c r="M35" s="3">
        <v>14</v>
      </c>
      <c r="P35" s="9" t="s">
        <v>29</v>
      </c>
      <c r="Q35" s="9" t="s">
        <v>29</v>
      </c>
      <c r="R35" s="9" t="s">
        <v>29</v>
      </c>
      <c r="S35" s="9" t="s">
        <v>29</v>
      </c>
      <c r="T35" s="9" t="s">
        <v>29</v>
      </c>
      <c r="U35" s="9" t="s">
        <v>29</v>
      </c>
      <c r="V35" s="16" t="s">
        <v>29</v>
      </c>
      <c r="W35" s="16" t="s">
        <v>29</v>
      </c>
      <c r="X35" s="16" t="s">
        <v>29</v>
      </c>
      <c r="Y35" s="16" t="s">
        <v>29</v>
      </c>
      <c r="AB35" s="9" t="s">
        <v>29</v>
      </c>
      <c r="AC35" s="9" t="s">
        <v>29</v>
      </c>
      <c r="AD35">
        <f>SUM(G35:I35)</f>
        <v>1</v>
      </c>
      <c r="AE35">
        <f>SUM(J35:K35)</f>
        <v>1</v>
      </c>
      <c r="AF35">
        <f>ABS(L35-M35)</f>
        <v>1</v>
      </c>
      <c r="AG35">
        <f>AVERAGE(L35:M35)</f>
        <v>14.5</v>
      </c>
      <c r="AI35">
        <f>MAX(L35:M35)</f>
        <v>15</v>
      </c>
      <c r="AJ35">
        <f>MIN(L35:M35)</f>
        <v>14</v>
      </c>
      <c r="AK35" t="s">
        <v>29</v>
      </c>
      <c r="AM35" s="16" t="s">
        <v>29</v>
      </c>
      <c r="AN35" s="16" t="s">
        <v>29</v>
      </c>
      <c r="AO35" s="16" t="s">
        <v>29</v>
      </c>
      <c r="AP35" s="16" t="s">
        <v>29</v>
      </c>
      <c r="AQ35" t="str">
        <f t="shared" si="0"/>
        <v>NA</v>
      </c>
      <c r="AR35" t="str">
        <f t="shared" si="1"/>
        <v>NA</v>
      </c>
    </row>
    <row r="36" spans="1:44" ht="13.2" x14ac:dyDescent="0.25">
      <c r="A36" s="3">
        <v>12</v>
      </c>
      <c r="B36" s="3" t="s">
        <v>37</v>
      </c>
      <c r="C36" s="3">
        <v>35</v>
      </c>
      <c r="D36" s="3">
        <v>5</v>
      </c>
      <c r="E36" s="3" t="s">
        <v>27</v>
      </c>
      <c r="F36" s="3" t="s">
        <v>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4</v>
      </c>
      <c r="M36" s="3">
        <v>6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9" t="s">
        <v>29</v>
      </c>
      <c r="V36" s="16" t="s">
        <v>29</v>
      </c>
      <c r="W36" s="16" t="s">
        <v>29</v>
      </c>
      <c r="X36" s="16" t="s">
        <v>29</v>
      </c>
      <c r="Y36" s="16" t="s">
        <v>29</v>
      </c>
      <c r="AB36" s="9" t="s">
        <v>29</v>
      </c>
      <c r="AC36" s="9" t="s">
        <v>29</v>
      </c>
      <c r="AD36">
        <f>SUM(G36:I36)</f>
        <v>0</v>
      </c>
      <c r="AE36">
        <f>SUM(J36:K36)</f>
        <v>0</v>
      </c>
      <c r="AF36">
        <f>ABS(L36-M36)</f>
        <v>2</v>
      </c>
      <c r="AG36">
        <f>AVERAGE(L36:M36)</f>
        <v>5</v>
      </c>
      <c r="AI36">
        <f>MAX(L36:M36)</f>
        <v>6</v>
      </c>
      <c r="AJ36">
        <f>MIN(L36:M36)</f>
        <v>4</v>
      </c>
      <c r="AK36" t="s">
        <v>29</v>
      </c>
      <c r="AM36" s="16" t="s">
        <v>29</v>
      </c>
      <c r="AN36" s="16" t="s">
        <v>29</v>
      </c>
      <c r="AO36" s="16" t="s">
        <v>29</v>
      </c>
      <c r="AP36" s="16" t="s">
        <v>29</v>
      </c>
      <c r="AQ36" t="str">
        <f t="shared" si="0"/>
        <v>NA</v>
      </c>
      <c r="AR36" t="str">
        <f t="shared" si="1"/>
        <v>NA</v>
      </c>
    </row>
    <row r="37" spans="1:44" ht="14.4" x14ac:dyDescent="0.3">
      <c r="A37" s="2">
        <v>23</v>
      </c>
      <c r="B37" s="2" t="s">
        <v>55</v>
      </c>
      <c r="C37" s="3">
        <v>7</v>
      </c>
      <c r="D37" s="3">
        <v>1</v>
      </c>
      <c r="E37" s="3" t="s">
        <v>27</v>
      </c>
      <c r="F37" s="3" t="s">
        <v>28</v>
      </c>
      <c r="G37" s="3">
        <v>15</v>
      </c>
      <c r="H37" s="3">
        <v>0</v>
      </c>
      <c r="I37" s="3">
        <v>0</v>
      </c>
      <c r="J37" s="3">
        <v>15</v>
      </c>
      <c r="K37" s="3">
        <v>0</v>
      </c>
      <c r="L37" s="3">
        <v>28</v>
      </c>
      <c r="M37" s="3">
        <v>29</v>
      </c>
      <c r="P37" s="9" t="s">
        <v>29</v>
      </c>
      <c r="Q37" s="9" t="s">
        <v>29</v>
      </c>
      <c r="R37" s="9" t="s">
        <v>29</v>
      </c>
      <c r="S37" s="9" t="s">
        <v>29</v>
      </c>
      <c r="T37" s="9" t="s">
        <v>29</v>
      </c>
      <c r="U37" s="9" t="s">
        <v>29</v>
      </c>
      <c r="V37" s="16" t="s">
        <v>29</v>
      </c>
      <c r="W37" s="16" t="s">
        <v>29</v>
      </c>
      <c r="X37" s="16" t="s">
        <v>29</v>
      </c>
      <c r="Y37" s="16" t="s">
        <v>29</v>
      </c>
      <c r="AB37" s="9" t="s">
        <v>29</v>
      </c>
      <c r="AC37" s="9" t="s">
        <v>29</v>
      </c>
      <c r="AD37">
        <f>SUM(G37:I37)</f>
        <v>15</v>
      </c>
      <c r="AE37">
        <f>SUM(J37:K37)</f>
        <v>15</v>
      </c>
      <c r="AF37">
        <f>ABS(L37-M37)</f>
        <v>1</v>
      </c>
      <c r="AG37">
        <f>AVERAGE(L37:M37)</f>
        <v>28.5</v>
      </c>
      <c r="AI37">
        <f>MAX(L37:M37)</f>
        <v>29</v>
      </c>
      <c r="AJ37">
        <f>MIN(L37:M37)</f>
        <v>28</v>
      </c>
      <c r="AK37" t="s">
        <v>29</v>
      </c>
      <c r="AM37" s="16" t="s">
        <v>29</v>
      </c>
      <c r="AN37" s="16" t="s">
        <v>29</v>
      </c>
      <c r="AO37" s="16" t="s">
        <v>29</v>
      </c>
      <c r="AP37" s="16" t="s">
        <v>29</v>
      </c>
      <c r="AQ37" t="str">
        <f t="shared" si="0"/>
        <v>NA</v>
      </c>
      <c r="AR37" t="str">
        <f t="shared" si="1"/>
        <v>NA</v>
      </c>
    </row>
    <row r="38" spans="1:44" ht="14.4" x14ac:dyDescent="0.3">
      <c r="A38" s="2">
        <v>23</v>
      </c>
      <c r="B38" s="2" t="s">
        <v>55</v>
      </c>
      <c r="C38" s="3">
        <v>14</v>
      </c>
      <c r="D38" s="3">
        <v>2</v>
      </c>
      <c r="E38" s="3" t="s">
        <v>27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9" t="s">
        <v>29</v>
      </c>
      <c r="V38" s="16" t="s">
        <v>29</v>
      </c>
      <c r="W38" s="16" t="s">
        <v>29</v>
      </c>
      <c r="X38" s="16" t="s">
        <v>29</v>
      </c>
      <c r="Y38" s="16" t="s">
        <v>29</v>
      </c>
      <c r="AB38" s="9" t="s">
        <v>29</v>
      </c>
      <c r="AC38" s="9" t="s">
        <v>29</v>
      </c>
      <c r="AD38" s="3" t="s">
        <v>29</v>
      </c>
      <c r="AE38" s="3" t="s">
        <v>29</v>
      </c>
      <c r="AF38" s="3" t="s">
        <v>29</v>
      </c>
      <c r="AG38" s="3" t="s">
        <v>29</v>
      </c>
      <c r="AH38" s="3" t="s">
        <v>29</v>
      </c>
      <c r="AI38" s="3" t="s">
        <v>29</v>
      </c>
      <c r="AJ38" s="3" t="s">
        <v>29</v>
      </c>
      <c r="AK38" s="3" t="s">
        <v>29</v>
      </c>
      <c r="AM38" s="16" t="s">
        <v>29</v>
      </c>
      <c r="AN38" s="16" t="s">
        <v>29</v>
      </c>
      <c r="AO38" s="16" t="s">
        <v>29</v>
      </c>
      <c r="AP38" s="16" t="s">
        <v>29</v>
      </c>
      <c r="AQ38" t="str">
        <f t="shared" si="0"/>
        <v>NA</v>
      </c>
      <c r="AR38" t="str">
        <f t="shared" si="1"/>
        <v>NA</v>
      </c>
    </row>
    <row r="39" spans="1:44" ht="14.4" x14ac:dyDescent="0.3">
      <c r="A39" s="2">
        <v>23</v>
      </c>
      <c r="B39" s="2" t="s">
        <v>55</v>
      </c>
      <c r="C39" s="3">
        <v>21</v>
      </c>
      <c r="D39" s="3">
        <v>3</v>
      </c>
      <c r="E39" s="3" t="s">
        <v>27</v>
      </c>
      <c r="F39" s="3" t="s">
        <v>28</v>
      </c>
      <c r="G39" s="3">
        <v>1</v>
      </c>
      <c r="H39" s="3">
        <v>0</v>
      </c>
      <c r="I39" s="3">
        <v>0</v>
      </c>
      <c r="J39" s="3">
        <v>1</v>
      </c>
      <c r="K39" s="3">
        <v>0</v>
      </c>
      <c r="L39" s="3">
        <v>43</v>
      </c>
      <c r="M39" s="3">
        <v>38</v>
      </c>
      <c r="P39" s="9" t="s">
        <v>29</v>
      </c>
      <c r="Q39" s="9" t="s">
        <v>29</v>
      </c>
      <c r="R39" s="9" t="s">
        <v>29</v>
      </c>
      <c r="S39" s="9" t="s">
        <v>29</v>
      </c>
      <c r="T39" s="9" t="s">
        <v>29</v>
      </c>
      <c r="U39" s="9" t="s">
        <v>29</v>
      </c>
      <c r="V39" s="16" t="s">
        <v>29</v>
      </c>
      <c r="W39" s="16" t="s">
        <v>29</v>
      </c>
      <c r="X39" s="16" t="s">
        <v>29</v>
      </c>
      <c r="Y39" s="16" t="s">
        <v>29</v>
      </c>
      <c r="AB39" s="9" t="s">
        <v>29</v>
      </c>
      <c r="AC39" s="9" t="s">
        <v>29</v>
      </c>
      <c r="AD39">
        <f>SUM(G39:I39)</f>
        <v>1</v>
      </c>
      <c r="AE39">
        <f>SUM(J39:K39)</f>
        <v>1</v>
      </c>
      <c r="AF39">
        <f>ABS(L39-M39)</f>
        <v>5</v>
      </c>
      <c r="AG39">
        <f>AVERAGE(L39:M39)</f>
        <v>40.5</v>
      </c>
      <c r="AI39">
        <f>MAX(L39:M39)</f>
        <v>43</v>
      </c>
      <c r="AJ39">
        <f>MIN(L39:M39)</f>
        <v>38</v>
      </c>
      <c r="AK39" t="s">
        <v>29</v>
      </c>
      <c r="AM39" s="16" t="s">
        <v>29</v>
      </c>
      <c r="AN39" s="16" t="s">
        <v>29</v>
      </c>
      <c r="AO39" s="16" t="s">
        <v>29</v>
      </c>
      <c r="AP39" s="16" t="s">
        <v>29</v>
      </c>
      <c r="AQ39" t="str">
        <f t="shared" si="0"/>
        <v>NA</v>
      </c>
      <c r="AR39" t="str">
        <f t="shared" si="1"/>
        <v>NA</v>
      </c>
    </row>
    <row r="40" spans="1:44" ht="14.4" x14ac:dyDescent="0.3">
      <c r="A40" s="2">
        <v>23</v>
      </c>
      <c r="B40" s="2" t="s">
        <v>55</v>
      </c>
      <c r="C40" s="3">
        <v>28</v>
      </c>
      <c r="D40" s="3">
        <v>4</v>
      </c>
      <c r="E40" s="3" t="s">
        <v>27</v>
      </c>
      <c r="F40" s="3" t="s">
        <v>31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3">
        <v>0</v>
      </c>
      <c r="W40" s="3">
        <v>0</v>
      </c>
      <c r="X40" s="3">
        <v>0</v>
      </c>
      <c r="Y40" s="3">
        <v>0</v>
      </c>
      <c r="AB40" s="9">
        <v>21</v>
      </c>
      <c r="AC40" s="9">
        <v>17</v>
      </c>
      <c r="AD40">
        <f>SUM(P40:U40)</f>
        <v>0</v>
      </c>
      <c r="AE40">
        <f>SUM(V40:Y40)</f>
        <v>0</v>
      </c>
      <c r="AF40">
        <f>ABS(AB40-AC40)</f>
        <v>4</v>
      </c>
      <c r="AG40">
        <f>AVERAGE(AB40:AC40)</f>
        <v>19</v>
      </c>
      <c r="AI40">
        <f>MAX(AB40:AC40)</f>
        <v>21</v>
      </c>
      <c r="AJ40">
        <f>MIN(AB40:AC40)</f>
        <v>17</v>
      </c>
      <c r="AK40" t="s">
        <v>29</v>
      </c>
      <c r="AM40" s="17">
        <f>SUM(P40,R40,T40)</f>
        <v>0</v>
      </c>
      <c r="AN40" s="17">
        <f>SUM(Q40,S40,U40)</f>
        <v>0</v>
      </c>
      <c r="AO40" s="17">
        <f>SUM(V40,X40)</f>
        <v>0</v>
      </c>
      <c r="AP40" s="17">
        <f>SUM(W40,Y40)</f>
        <v>0</v>
      </c>
      <c r="AQ40">
        <f t="shared" si="0"/>
        <v>21</v>
      </c>
      <c r="AR40">
        <f t="shared" si="1"/>
        <v>17</v>
      </c>
    </row>
    <row r="41" spans="1:44" ht="14.4" x14ac:dyDescent="0.3">
      <c r="A41" s="2">
        <v>23</v>
      </c>
      <c r="B41" s="2" t="s">
        <v>55</v>
      </c>
      <c r="C41" s="3">
        <v>35</v>
      </c>
      <c r="D41" s="3">
        <v>5</v>
      </c>
      <c r="E41" s="3" t="s">
        <v>27</v>
      </c>
      <c r="F41" s="3" t="s">
        <v>31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3">
        <v>0</v>
      </c>
      <c r="W41" s="3">
        <v>0</v>
      </c>
      <c r="X41" s="3">
        <v>0</v>
      </c>
      <c r="Y41" s="3">
        <v>0</v>
      </c>
      <c r="AB41" s="10">
        <v>18</v>
      </c>
      <c r="AC41" s="10">
        <v>8</v>
      </c>
      <c r="AD41">
        <f>SUM(P41:U41)</f>
        <v>0</v>
      </c>
      <c r="AE41">
        <f>SUM(V41:Y41)</f>
        <v>0</v>
      </c>
      <c r="AF41">
        <f>ABS(AB41-AC41)</f>
        <v>10</v>
      </c>
      <c r="AG41">
        <f>AVERAGE(AB41:AC41)</f>
        <v>13</v>
      </c>
      <c r="AI41">
        <f>MAX(AB41:AC41)</f>
        <v>18</v>
      </c>
      <c r="AJ41">
        <f>MIN(AB41:AC41)</f>
        <v>8</v>
      </c>
      <c r="AK41" t="s">
        <v>29</v>
      </c>
      <c r="AM41" s="17">
        <f>SUM(P41,R41,T41)</f>
        <v>0</v>
      </c>
      <c r="AN41" s="17">
        <f>SUM(Q41,S41,U41)</f>
        <v>0</v>
      </c>
      <c r="AO41" s="17">
        <f>SUM(V41,X41)</f>
        <v>0</v>
      </c>
      <c r="AP41" s="17">
        <f>SUM(W41,Y41)</f>
        <v>0</v>
      </c>
      <c r="AQ41">
        <f t="shared" si="0"/>
        <v>18</v>
      </c>
      <c r="AR41">
        <f t="shared" si="1"/>
        <v>8</v>
      </c>
    </row>
    <row r="42" spans="1:44" ht="14.4" x14ac:dyDescent="0.3">
      <c r="A42" s="3">
        <v>25</v>
      </c>
      <c r="B42" s="3" t="s">
        <v>63</v>
      </c>
      <c r="C42" s="3">
        <v>28</v>
      </c>
      <c r="D42" s="3">
        <v>4</v>
      </c>
      <c r="E42" s="3" t="s">
        <v>27</v>
      </c>
      <c r="F42" s="2" t="s">
        <v>31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3">
        <v>0</v>
      </c>
      <c r="W42" s="3">
        <v>0</v>
      </c>
      <c r="X42" s="3">
        <v>0</v>
      </c>
      <c r="Y42" s="3">
        <v>0</v>
      </c>
      <c r="AB42" s="9">
        <v>27</v>
      </c>
      <c r="AC42" s="9">
        <v>21</v>
      </c>
      <c r="AD42">
        <f>SUM(P42:U42)</f>
        <v>0</v>
      </c>
      <c r="AE42">
        <f>SUM(V42:Y42)</f>
        <v>0</v>
      </c>
      <c r="AF42">
        <f>ABS(AB42-AC42)</f>
        <v>6</v>
      </c>
      <c r="AG42">
        <f>AVERAGE(AB42:AC42)</f>
        <v>24</v>
      </c>
      <c r="AI42">
        <f>MAX(AB42:AC42)</f>
        <v>27</v>
      </c>
      <c r="AJ42">
        <f>MIN(AB42:AC42)</f>
        <v>21</v>
      </c>
      <c r="AK42" t="s">
        <v>29</v>
      </c>
      <c r="AM42" s="17">
        <f>SUM(P42,R42,T42)</f>
        <v>0</v>
      </c>
      <c r="AN42" s="17">
        <f>SUM(Q42,S42,U42)</f>
        <v>0</v>
      </c>
      <c r="AO42" s="17">
        <f>SUM(V42,X42)</f>
        <v>0</v>
      </c>
      <c r="AP42" s="17">
        <f>SUM(W42,Y42)</f>
        <v>0</v>
      </c>
      <c r="AQ42">
        <f t="shared" si="0"/>
        <v>27</v>
      </c>
      <c r="AR42">
        <f t="shared" si="1"/>
        <v>21</v>
      </c>
    </row>
    <row r="43" spans="1:44" ht="14.4" x14ac:dyDescent="0.3">
      <c r="A43" s="3">
        <v>25</v>
      </c>
      <c r="B43" s="3" t="s">
        <v>48</v>
      </c>
      <c r="C43" s="3">
        <v>7</v>
      </c>
      <c r="D43" s="3">
        <v>1</v>
      </c>
      <c r="E43" s="3" t="s">
        <v>27</v>
      </c>
      <c r="F43" s="2" t="s">
        <v>28</v>
      </c>
      <c r="G43" s="3">
        <v>2</v>
      </c>
      <c r="H43" s="3">
        <v>0</v>
      </c>
      <c r="I43" s="3">
        <v>0</v>
      </c>
      <c r="J43" s="3">
        <v>2</v>
      </c>
      <c r="K43" s="3">
        <v>0</v>
      </c>
      <c r="L43" s="3">
        <v>27</v>
      </c>
      <c r="M43" s="3">
        <v>36</v>
      </c>
      <c r="P43" s="9" t="s">
        <v>29</v>
      </c>
      <c r="Q43" s="9" t="s">
        <v>29</v>
      </c>
      <c r="R43" s="9" t="s">
        <v>29</v>
      </c>
      <c r="S43" s="9" t="s">
        <v>29</v>
      </c>
      <c r="T43" s="9" t="s">
        <v>29</v>
      </c>
      <c r="U43" s="9" t="s">
        <v>29</v>
      </c>
      <c r="V43" s="16" t="s">
        <v>29</v>
      </c>
      <c r="W43" s="16" t="s">
        <v>29</v>
      </c>
      <c r="X43" s="16" t="s">
        <v>29</v>
      </c>
      <c r="Y43" s="16" t="s">
        <v>29</v>
      </c>
      <c r="AB43" s="9" t="s">
        <v>29</v>
      </c>
      <c r="AC43" s="9" t="s">
        <v>29</v>
      </c>
      <c r="AD43">
        <f>SUM(G43:I43)</f>
        <v>2</v>
      </c>
      <c r="AE43">
        <f>SUM(J43:K43)</f>
        <v>2</v>
      </c>
      <c r="AF43">
        <f>ABS(L43-M43)</f>
        <v>9</v>
      </c>
      <c r="AG43">
        <f>AVERAGE(L43:M43)</f>
        <v>31.5</v>
      </c>
      <c r="AI43">
        <f>MAX(L43:M43)</f>
        <v>36</v>
      </c>
      <c r="AJ43">
        <f>MIN(L43:M43)</f>
        <v>27</v>
      </c>
      <c r="AK43" t="s">
        <v>29</v>
      </c>
      <c r="AM43" s="16" t="s">
        <v>29</v>
      </c>
      <c r="AN43" s="16" t="s">
        <v>29</v>
      </c>
      <c r="AO43" s="16" t="s">
        <v>29</v>
      </c>
      <c r="AP43" s="16" t="s">
        <v>29</v>
      </c>
      <c r="AQ43" t="str">
        <f t="shared" si="0"/>
        <v>NA</v>
      </c>
      <c r="AR43" t="str">
        <f t="shared" si="1"/>
        <v>NA</v>
      </c>
    </row>
    <row r="44" spans="1:44" ht="13.2" x14ac:dyDescent="0.25">
      <c r="A44" s="3">
        <v>25</v>
      </c>
      <c r="B44" s="3" t="s">
        <v>48</v>
      </c>
      <c r="C44" s="3">
        <v>14</v>
      </c>
      <c r="D44" s="3">
        <v>2</v>
      </c>
      <c r="E44" s="3" t="s">
        <v>27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P44" s="9" t="s">
        <v>29</v>
      </c>
      <c r="Q44" s="9" t="s">
        <v>29</v>
      </c>
      <c r="R44" s="9" t="s">
        <v>29</v>
      </c>
      <c r="S44" s="9" t="s">
        <v>29</v>
      </c>
      <c r="T44" s="9" t="s">
        <v>29</v>
      </c>
      <c r="U44" s="9" t="s">
        <v>29</v>
      </c>
      <c r="V44" s="16" t="s">
        <v>29</v>
      </c>
      <c r="W44" s="16" t="s">
        <v>29</v>
      </c>
      <c r="X44" s="16" t="s">
        <v>29</v>
      </c>
      <c r="Y44" s="16" t="s">
        <v>29</v>
      </c>
      <c r="AB44" s="9" t="s">
        <v>29</v>
      </c>
      <c r="AC44" s="9" t="s">
        <v>29</v>
      </c>
      <c r="AD44" s="3" t="s">
        <v>29</v>
      </c>
      <c r="AE44" s="3" t="s">
        <v>29</v>
      </c>
      <c r="AF44" s="3" t="s">
        <v>29</v>
      </c>
      <c r="AG44" s="3" t="s">
        <v>29</v>
      </c>
      <c r="AH44" s="3" t="s">
        <v>29</v>
      </c>
      <c r="AI44" s="3" t="s">
        <v>29</v>
      </c>
      <c r="AJ44" s="3" t="s">
        <v>29</v>
      </c>
      <c r="AK44" s="3" t="s">
        <v>29</v>
      </c>
      <c r="AM44" s="16" t="s">
        <v>29</v>
      </c>
      <c r="AN44" s="16" t="s">
        <v>29</v>
      </c>
      <c r="AO44" s="16" t="s">
        <v>29</v>
      </c>
      <c r="AP44" s="16" t="s">
        <v>29</v>
      </c>
      <c r="AQ44" t="str">
        <f t="shared" si="0"/>
        <v>NA</v>
      </c>
      <c r="AR44" t="str">
        <f t="shared" si="1"/>
        <v>NA</v>
      </c>
    </row>
    <row r="45" spans="1:44" ht="14.4" x14ac:dyDescent="0.3">
      <c r="A45" s="3">
        <v>25</v>
      </c>
      <c r="B45" s="3" t="s">
        <v>48</v>
      </c>
      <c r="C45" s="3">
        <v>21</v>
      </c>
      <c r="D45" s="3">
        <v>3</v>
      </c>
      <c r="E45" s="3" t="s">
        <v>27</v>
      </c>
      <c r="F45" s="2" t="s">
        <v>28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29</v>
      </c>
      <c r="M45" s="3">
        <v>38</v>
      </c>
      <c r="P45" s="9" t="s">
        <v>29</v>
      </c>
      <c r="Q45" s="9" t="s">
        <v>29</v>
      </c>
      <c r="R45" s="9" t="s">
        <v>29</v>
      </c>
      <c r="S45" s="9" t="s">
        <v>29</v>
      </c>
      <c r="T45" s="9" t="s">
        <v>29</v>
      </c>
      <c r="U45" s="9" t="s">
        <v>29</v>
      </c>
      <c r="V45" s="16" t="s">
        <v>29</v>
      </c>
      <c r="W45" s="16" t="s">
        <v>29</v>
      </c>
      <c r="X45" s="16" t="s">
        <v>29</v>
      </c>
      <c r="Y45" s="16" t="s">
        <v>29</v>
      </c>
      <c r="AB45" s="9" t="s">
        <v>29</v>
      </c>
      <c r="AC45" s="9" t="s">
        <v>29</v>
      </c>
      <c r="AD45">
        <f>SUM(G45:I45)</f>
        <v>2</v>
      </c>
      <c r="AE45">
        <f>SUM(J45:K45)</f>
        <v>0</v>
      </c>
      <c r="AF45">
        <f>ABS(L45-M45)</f>
        <v>9</v>
      </c>
      <c r="AG45">
        <f>AVERAGE(L45:M45)</f>
        <v>33.5</v>
      </c>
      <c r="AI45">
        <f>MAX(L45:M45)</f>
        <v>38</v>
      </c>
      <c r="AJ45">
        <f>MIN(L45:M45)</f>
        <v>29</v>
      </c>
      <c r="AK45" t="s">
        <v>29</v>
      </c>
      <c r="AM45" s="16" t="s">
        <v>29</v>
      </c>
      <c r="AN45" s="16" t="s">
        <v>29</v>
      </c>
      <c r="AO45" s="16" t="s">
        <v>29</v>
      </c>
      <c r="AP45" s="16" t="s">
        <v>29</v>
      </c>
      <c r="AQ45" t="str">
        <f t="shared" si="0"/>
        <v>NA</v>
      </c>
      <c r="AR45" t="str">
        <f t="shared" si="1"/>
        <v>NA</v>
      </c>
    </row>
    <row r="46" spans="1:44" ht="14.4" x14ac:dyDescent="0.3">
      <c r="A46" s="3">
        <v>25</v>
      </c>
      <c r="B46" s="3" t="s">
        <v>48</v>
      </c>
      <c r="C46" s="3">
        <v>35</v>
      </c>
      <c r="D46" s="3">
        <v>5</v>
      </c>
      <c r="E46" s="3" t="s">
        <v>27</v>
      </c>
      <c r="F46" s="2" t="s">
        <v>31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3">
        <v>0</v>
      </c>
      <c r="W46" s="3">
        <v>0</v>
      </c>
      <c r="X46" s="3">
        <v>0</v>
      </c>
      <c r="Y46" s="3">
        <v>0</v>
      </c>
      <c r="AB46" s="10">
        <v>23</v>
      </c>
      <c r="AC46" s="10">
        <v>18</v>
      </c>
      <c r="AD46">
        <f>SUM(P46:U46)</f>
        <v>0</v>
      </c>
      <c r="AE46">
        <f>SUM(V46:Y46)</f>
        <v>0</v>
      </c>
      <c r="AF46">
        <f>ABS(AB46-AC46)</f>
        <v>5</v>
      </c>
      <c r="AG46">
        <f>AVERAGE(AB46:AC46)</f>
        <v>20.5</v>
      </c>
      <c r="AI46">
        <f>MAX(AB46:AC46)</f>
        <v>23</v>
      </c>
      <c r="AJ46">
        <f>MIN(AB46:AC46)</f>
        <v>18</v>
      </c>
      <c r="AK46" t="s">
        <v>29</v>
      </c>
      <c r="AM46" s="17">
        <f>SUM(P46,R46,T46)</f>
        <v>0</v>
      </c>
      <c r="AN46" s="17">
        <f>SUM(Q46,S46,U46)</f>
        <v>0</v>
      </c>
      <c r="AO46" s="17">
        <f>SUM(V46,X46)</f>
        <v>0</v>
      </c>
      <c r="AP46" s="17">
        <f>SUM(W46,Y46)</f>
        <v>0</v>
      </c>
      <c r="AQ46">
        <f t="shared" si="0"/>
        <v>23</v>
      </c>
      <c r="AR46">
        <f t="shared" si="1"/>
        <v>18</v>
      </c>
    </row>
    <row r="47" spans="1:44" ht="14.4" x14ac:dyDescent="0.3">
      <c r="A47" s="2">
        <v>20</v>
      </c>
      <c r="B47" s="2" t="s">
        <v>53</v>
      </c>
      <c r="C47" s="3">
        <v>7</v>
      </c>
      <c r="D47" s="3">
        <v>1</v>
      </c>
      <c r="E47" s="3" t="s">
        <v>27</v>
      </c>
      <c r="F47" s="3" t="s">
        <v>28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28</v>
      </c>
      <c r="M47" s="3">
        <v>33</v>
      </c>
      <c r="P47" s="9" t="s">
        <v>29</v>
      </c>
      <c r="Q47" s="9" t="s">
        <v>29</v>
      </c>
      <c r="R47" s="9" t="s">
        <v>29</v>
      </c>
      <c r="S47" s="9" t="s">
        <v>29</v>
      </c>
      <c r="T47" s="9" t="s">
        <v>29</v>
      </c>
      <c r="U47" s="9" t="s">
        <v>29</v>
      </c>
      <c r="V47" s="16" t="s">
        <v>29</v>
      </c>
      <c r="W47" s="16" t="s">
        <v>29</v>
      </c>
      <c r="X47" s="16" t="s">
        <v>29</v>
      </c>
      <c r="Y47" s="16" t="s">
        <v>29</v>
      </c>
      <c r="AB47" s="9" t="s">
        <v>29</v>
      </c>
      <c r="AC47" s="9" t="s">
        <v>29</v>
      </c>
      <c r="AD47">
        <f>SUM(G47:I47)</f>
        <v>0</v>
      </c>
      <c r="AE47">
        <f>SUM(J47:K47)</f>
        <v>0</v>
      </c>
      <c r="AF47">
        <f>ABS(L47-M47)</f>
        <v>5</v>
      </c>
      <c r="AG47">
        <f>AVERAGE(L47:M47)</f>
        <v>30.5</v>
      </c>
      <c r="AI47">
        <f>MAX(L47:M47)</f>
        <v>33</v>
      </c>
      <c r="AJ47">
        <f>MIN(L47:M47)</f>
        <v>28</v>
      </c>
      <c r="AK47" t="s">
        <v>29</v>
      </c>
      <c r="AM47" s="16" t="s">
        <v>29</v>
      </c>
      <c r="AN47" s="16" t="s">
        <v>29</v>
      </c>
      <c r="AO47" s="16" t="s">
        <v>29</v>
      </c>
      <c r="AP47" s="16" t="s">
        <v>29</v>
      </c>
      <c r="AQ47" t="str">
        <f t="shared" si="0"/>
        <v>NA</v>
      </c>
      <c r="AR47" t="str">
        <f t="shared" si="1"/>
        <v>NA</v>
      </c>
    </row>
    <row r="48" spans="1:44" ht="14.4" x14ac:dyDescent="0.3">
      <c r="A48" s="2">
        <v>20</v>
      </c>
      <c r="B48" s="2" t="s">
        <v>53</v>
      </c>
      <c r="C48" s="3">
        <v>14</v>
      </c>
      <c r="D48" s="3">
        <v>2</v>
      </c>
      <c r="E48" s="3" t="s">
        <v>27</v>
      </c>
      <c r="F48" s="3" t="s">
        <v>28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20</v>
      </c>
      <c r="M48" s="3">
        <v>24</v>
      </c>
      <c r="P48" s="9" t="s">
        <v>29</v>
      </c>
      <c r="Q48" s="9" t="s">
        <v>29</v>
      </c>
      <c r="R48" s="9" t="s">
        <v>29</v>
      </c>
      <c r="S48" s="9" t="s">
        <v>29</v>
      </c>
      <c r="T48" s="9" t="s">
        <v>29</v>
      </c>
      <c r="U48" s="9" t="s">
        <v>29</v>
      </c>
      <c r="V48" s="16" t="s">
        <v>29</v>
      </c>
      <c r="W48" s="16" t="s">
        <v>29</v>
      </c>
      <c r="X48" s="16" t="s">
        <v>29</v>
      </c>
      <c r="Y48" s="16" t="s">
        <v>29</v>
      </c>
      <c r="AB48" s="9" t="s">
        <v>29</v>
      </c>
      <c r="AC48" s="9" t="s">
        <v>29</v>
      </c>
      <c r="AD48">
        <f>SUM(G48:I48)</f>
        <v>0</v>
      </c>
      <c r="AE48">
        <f>SUM(J48:K48)</f>
        <v>0</v>
      </c>
      <c r="AF48">
        <f>ABS(L48-M48)</f>
        <v>4</v>
      </c>
      <c r="AG48">
        <f>AVERAGE(L48:M48)</f>
        <v>22</v>
      </c>
      <c r="AI48">
        <f>MAX(L48:M48)</f>
        <v>24</v>
      </c>
      <c r="AJ48">
        <f>MIN(L48:M48)</f>
        <v>20</v>
      </c>
      <c r="AK48" t="s">
        <v>29</v>
      </c>
      <c r="AM48" s="16" t="s">
        <v>29</v>
      </c>
      <c r="AN48" s="16" t="s">
        <v>29</v>
      </c>
      <c r="AO48" s="16" t="s">
        <v>29</v>
      </c>
      <c r="AP48" s="16" t="s">
        <v>29</v>
      </c>
      <c r="AQ48" t="str">
        <f t="shared" si="0"/>
        <v>NA</v>
      </c>
      <c r="AR48" t="str">
        <f t="shared" si="1"/>
        <v>NA</v>
      </c>
    </row>
    <row r="49" spans="1:44" ht="14.4" x14ac:dyDescent="0.3">
      <c r="A49" s="2">
        <v>20</v>
      </c>
      <c r="B49" s="2" t="s">
        <v>53</v>
      </c>
      <c r="C49" s="3">
        <v>21</v>
      </c>
      <c r="D49" s="3">
        <v>3</v>
      </c>
      <c r="E49" s="3" t="s">
        <v>27</v>
      </c>
      <c r="F49" s="3" t="s">
        <v>31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3">
        <v>0</v>
      </c>
      <c r="W49" s="3">
        <v>0</v>
      </c>
      <c r="X49" s="3">
        <v>0</v>
      </c>
      <c r="Y49" s="3">
        <v>0</v>
      </c>
      <c r="AB49" s="10">
        <v>25</v>
      </c>
      <c r="AC49" s="10">
        <v>14</v>
      </c>
      <c r="AD49">
        <f>SUM(P49:U49)</f>
        <v>0</v>
      </c>
      <c r="AE49">
        <f>SUM(V49:Y49)</f>
        <v>0</v>
      </c>
      <c r="AF49">
        <f>ABS(AB49-AC49)</f>
        <v>11</v>
      </c>
      <c r="AG49">
        <f>AVERAGE(AB49:AC49)</f>
        <v>19.5</v>
      </c>
      <c r="AI49">
        <f>MAX(AB49:AC49)</f>
        <v>25</v>
      </c>
      <c r="AJ49">
        <f>MIN(AB49:AC49)</f>
        <v>14</v>
      </c>
      <c r="AK49" t="s">
        <v>29</v>
      </c>
      <c r="AM49" s="17">
        <f>SUM(P49,R49,T49)</f>
        <v>0</v>
      </c>
      <c r="AN49" s="17">
        <f>SUM(Q49,S49,U49)</f>
        <v>0</v>
      </c>
      <c r="AO49" s="17">
        <f>SUM(V49,X49)</f>
        <v>0</v>
      </c>
      <c r="AP49" s="17">
        <f>SUM(W49,Y49)</f>
        <v>0</v>
      </c>
      <c r="AQ49">
        <f t="shared" si="0"/>
        <v>25</v>
      </c>
      <c r="AR49">
        <f t="shared" si="1"/>
        <v>14</v>
      </c>
    </row>
    <row r="50" spans="1:44" ht="14.4" x14ac:dyDescent="0.3">
      <c r="A50" s="2">
        <v>20</v>
      </c>
      <c r="B50" s="2" t="s">
        <v>53</v>
      </c>
      <c r="C50" s="3">
        <v>28</v>
      </c>
      <c r="D50" s="3">
        <v>4</v>
      </c>
      <c r="E50" s="3" t="s">
        <v>27</v>
      </c>
      <c r="F50" s="3" t="s">
        <v>31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3">
        <v>0</v>
      </c>
      <c r="W50" s="3">
        <v>0</v>
      </c>
      <c r="X50" s="3">
        <v>0</v>
      </c>
      <c r="Y50" s="3">
        <v>0</v>
      </c>
      <c r="AB50" s="10">
        <v>12</v>
      </c>
      <c r="AC50" s="10">
        <v>10</v>
      </c>
      <c r="AD50">
        <f>SUM(P50:U50)</f>
        <v>0</v>
      </c>
      <c r="AE50">
        <f>SUM(V50:Y50)</f>
        <v>0</v>
      </c>
      <c r="AF50">
        <f>ABS(AB50-AC50)</f>
        <v>2</v>
      </c>
      <c r="AG50">
        <f>AVERAGE(AB50:AC50)</f>
        <v>11</v>
      </c>
      <c r="AI50">
        <f>MAX(AB50:AC50)</f>
        <v>12</v>
      </c>
      <c r="AJ50">
        <f>MIN(AB50:AC50)</f>
        <v>10</v>
      </c>
      <c r="AK50" t="s">
        <v>29</v>
      </c>
      <c r="AM50" s="17">
        <f>SUM(P50,R50,T50)</f>
        <v>0</v>
      </c>
      <c r="AN50" s="17">
        <f>SUM(Q50,S50,U50)</f>
        <v>0</v>
      </c>
      <c r="AO50" s="17">
        <f>SUM(V50,X50)</f>
        <v>0</v>
      </c>
      <c r="AP50" s="17">
        <f>SUM(W50,Y50)</f>
        <v>0</v>
      </c>
      <c r="AQ50">
        <f t="shared" si="0"/>
        <v>12</v>
      </c>
      <c r="AR50">
        <f t="shared" si="1"/>
        <v>10</v>
      </c>
    </row>
    <row r="51" spans="1:44" ht="14.4" x14ac:dyDescent="0.3">
      <c r="A51" s="2">
        <v>20</v>
      </c>
      <c r="B51" s="2" t="s">
        <v>53</v>
      </c>
      <c r="C51" s="3">
        <v>35</v>
      </c>
      <c r="D51" s="3">
        <v>5</v>
      </c>
      <c r="E51" s="3" t="s">
        <v>27</v>
      </c>
      <c r="F51" s="3" t="s">
        <v>31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3">
        <v>0</v>
      </c>
      <c r="W51" s="3">
        <v>0</v>
      </c>
      <c r="X51" s="3">
        <v>0</v>
      </c>
      <c r="Y51" s="3">
        <v>0</v>
      </c>
      <c r="AB51" s="10">
        <v>18</v>
      </c>
      <c r="AC51" s="10">
        <v>11</v>
      </c>
      <c r="AD51">
        <f>SUM(P51:U51)</f>
        <v>0</v>
      </c>
      <c r="AE51">
        <f>SUM(V51:Y51)</f>
        <v>0</v>
      </c>
      <c r="AF51">
        <f>ABS(AB51-AC51)</f>
        <v>7</v>
      </c>
      <c r="AG51">
        <f>AVERAGE(AB51:AC51)</f>
        <v>14.5</v>
      </c>
      <c r="AI51">
        <f>MAX(AB51:AC51)</f>
        <v>18</v>
      </c>
      <c r="AJ51">
        <f>MIN(AB51:AC51)</f>
        <v>11</v>
      </c>
      <c r="AK51" t="s">
        <v>29</v>
      </c>
      <c r="AM51" s="17">
        <f>SUM(P51,R51,T51)</f>
        <v>0</v>
      </c>
      <c r="AN51" s="17">
        <f>SUM(Q51,S51,U51)</f>
        <v>0</v>
      </c>
      <c r="AO51" s="17">
        <f>SUM(V51,X51)</f>
        <v>0</v>
      </c>
      <c r="AP51" s="17">
        <f>SUM(W51,Y51)</f>
        <v>0</v>
      </c>
      <c r="AQ51">
        <f t="shared" si="0"/>
        <v>18</v>
      </c>
      <c r="AR51">
        <f t="shared" si="1"/>
        <v>11</v>
      </c>
    </row>
    <row r="52" spans="1:44" ht="14.4" x14ac:dyDescent="0.3">
      <c r="A52" s="1">
        <v>6</v>
      </c>
      <c r="B52" s="2" t="s">
        <v>30</v>
      </c>
      <c r="C52" s="3">
        <v>7</v>
      </c>
      <c r="D52" s="3">
        <v>1</v>
      </c>
      <c r="E52" s="3" t="s">
        <v>27</v>
      </c>
      <c r="F52" s="3" t="s">
        <v>28</v>
      </c>
      <c r="G52" s="3">
        <v>12</v>
      </c>
      <c r="H52" s="3">
        <v>0</v>
      </c>
      <c r="I52" s="3">
        <v>0</v>
      </c>
      <c r="J52" s="3">
        <v>8</v>
      </c>
      <c r="K52" s="3">
        <v>0</v>
      </c>
      <c r="L52" s="3">
        <v>30</v>
      </c>
      <c r="M52" s="3">
        <v>30</v>
      </c>
      <c r="P52" s="9" t="s">
        <v>29</v>
      </c>
      <c r="Q52" s="9" t="s">
        <v>29</v>
      </c>
      <c r="R52" s="9" t="s">
        <v>29</v>
      </c>
      <c r="S52" s="9" t="s">
        <v>29</v>
      </c>
      <c r="T52" s="9" t="s">
        <v>29</v>
      </c>
      <c r="U52" s="9" t="s">
        <v>29</v>
      </c>
      <c r="V52" s="16" t="s">
        <v>29</v>
      </c>
      <c r="W52" s="16" t="s">
        <v>29</v>
      </c>
      <c r="X52" s="16" t="s">
        <v>29</v>
      </c>
      <c r="Y52" s="16" t="s">
        <v>29</v>
      </c>
      <c r="AB52" s="9" t="s">
        <v>29</v>
      </c>
      <c r="AC52" s="9" t="s">
        <v>29</v>
      </c>
      <c r="AD52">
        <f>SUM(G52:I52)</f>
        <v>12</v>
      </c>
      <c r="AE52">
        <f>SUM(J52:K52)</f>
        <v>8</v>
      </c>
      <c r="AF52">
        <f>ABS(L52-M52)</f>
        <v>0</v>
      </c>
      <c r="AG52">
        <f>AVERAGE(L52:M52)</f>
        <v>30</v>
      </c>
      <c r="AI52">
        <f>MAX(L52:M52)</f>
        <v>30</v>
      </c>
      <c r="AJ52">
        <f>MIN(L52:M52)</f>
        <v>30</v>
      </c>
      <c r="AK52" t="s">
        <v>29</v>
      </c>
      <c r="AM52" s="16" t="s">
        <v>29</v>
      </c>
      <c r="AN52" s="16" t="s">
        <v>29</v>
      </c>
      <c r="AO52" s="16" t="s">
        <v>29</v>
      </c>
      <c r="AP52" s="16" t="s">
        <v>29</v>
      </c>
      <c r="AQ52" t="str">
        <f t="shared" si="0"/>
        <v>NA</v>
      </c>
      <c r="AR52" t="str">
        <f t="shared" si="1"/>
        <v>NA</v>
      </c>
    </row>
    <row r="53" spans="1:44" ht="14.4" x14ac:dyDescent="0.3">
      <c r="A53" s="1">
        <v>6</v>
      </c>
      <c r="B53" s="2" t="s">
        <v>30</v>
      </c>
      <c r="C53" s="3">
        <v>14</v>
      </c>
      <c r="D53" s="3">
        <v>2</v>
      </c>
      <c r="E53" s="3" t="s">
        <v>27</v>
      </c>
      <c r="F53" s="3" t="s">
        <v>28</v>
      </c>
      <c r="G53" s="3">
        <v>6</v>
      </c>
      <c r="H53" s="3">
        <v>1</v>
      </c>
      <c r="I53" s="3">
        <v>0</v>
      </c>
      <c r="J53" s="3">
        <v>6</v>
      </c>
      <c r="K53" s="3">
        <v>0</v>
      </c>
      <c r="L53" s="3">
        <v>13</v>
      </c>
      <c r="M53" s="3">
        <v>18</v>
      </c>
      <c r="P53" s="9" t="s">
        <v>29</v>
      </c>
      <c r="Q53" s="9" t="s">
        <v>29</v>
      </c>
      <c r="R53" s="9" t="s">
        <v>29</v>
      </c>
      <c r="S53" s="9" t="s">
        <v>29</v>
      </c>
      <c r="T53" s="9" t="s">
        <v>29</v>
      </c>
      <c r="U53" s="9" t="s">
        <v>29</v>
      </c>
      <c r="V53" s="16" t="s">
        <v>29</v>
      </c>
      <c r="W53" s="16" t="s">
        <v>29</v>
      </c>
      <c r="X53" s="16" t="s">
        <v>29</v>
      </c>
      <c r="Y53" s="16" t="s">
        <v>29</v>
      </c>
      <c r="AB53" s="9" t="s">
        <v>29</v>
      </c>
      <c r="AC53" s="9" t="s">
        <v>29</v>
      </c>
      <c r="AD53">
        <f>SUM(G53:I53)</f>
        <v>7</v>
      </c>
      <c r="AE53">
        <f>SUM(J53:K53)</f>
        <v>6</v>
      </c>
      <c r="AF53">
        <f>ABS(L53-M53)</f>
        <v>5</v>
      </c>
      <c r="AG53">
        <f>AVERAGE(L53:M53)</f>
        <v>15.5</v>
      </c>
      <c r="AI53">
        <f>MAX(L53:M53)</f>
        <v>18</v>
      </c>
      <c r="AJ53">
        <f>MIN(L53:M53)</f>
        <v>13</v>
      </c>
      <c r="AK53" t="s">
        <v>29</v>
      </c>
      <c r="AM53" s="16" t="s">
        <v>29</v>
      </c>
      <c r="AN53" s="16" t="s">
        <v>29</v>
      </c>
      <c r="AO53" s="16" t="s">
        <v>29</v>
      </c>
      <c r="AP53" s="16" t="s">
        <v>29</v>
      </c>
      <c r="AQ53" t="str">
        <f t="shared" si="0"/>
        <v>NA</v>
      </c>
      <c r="AR53" t="str">
        <f t="shared" si="1"/>
        <v>NA</v>
      </c>
    </row>
    <row r="54" spans="1:44" ht="14.4" x14ac:dyDescent="0.3">
      <c r="A54" s="1">
        <v>6</v>
      </c>
      <c r="B54" s="2" t="s">
        <v>30</v>
      </c>
      <c r="C54" s="3">
        <v>21</v>
      </c>
      <c r="D54" s="3">
        <v>3</v>
      </c>
      <c r="E54" s="3" t="s">
        <v>27</v>
      </c>
      <c r="F54" s="3" t="s">
        <v>28</v>
      </c>
      <c r="G54" s="3">
        <v>6</v>
      </c>
      <c r="H54" s="3">
        <v>0</v>
      </c>
      <c r="I54" s="3">
        <v>0</v>
      </c>
      <c r="J54" s="3">
        <v>6</v>
      </c>
      <c r="K54" s="3">
        <v>0</v>
      </c>
      <c r="L54" s="3">
        <v>14</v>
      </c>
      <c r="M54" s="3">
        <v>22</v>
      </c>
      <c r="P54" s="9" t="s">
        <v>29</v>
      </c>
      <c r="Q54" s="9" t="s">
        <v>29</v>
      </c>
      <c r="R54" s="9" t="s">
        <v>29</v>
      </c>
      <c r="S54" s="9" t="s">
        <v>29</v>
      </c>
      <c r="T54" s="9" t="s">
        <v>29</v>
      </c>
      <c r="U54" s="9" t="s">
        <v>29</v>
      </c>
      <c r="V54" s="16" t="s">
        <v>29</v>
      </c>
      <c r="W54" s="16" t="s">
        <v>29</v>
      </c>
      <c r="X54" s="16" t="s">
        <v>29</v>
      </c>
      <c r="Y54" s="16" t="s">
        <v>29</v>
      </c>
      <c r="AB54" s="9" t="s">
        <v>29</v>
      </c>
      <c r="AC54" s="9" t="s">
        <v>29</v>
      </c>
      <c r="AD54">
        <f>SUM(G54:I54)</f>
        <v>6</v>
      </c>
      <c r="AE54">
        <f>SUM(J54:K54)</f>
        <v>6</v>
      </c>
      <c r="AF54">
        <f>ABS(L54-M54)</f>
        <v>8</v>
      </c>
      <c r="AG54">
        <f>AVERAGE(L54:M54)</f>
        <v>18</v>
      </c>
      <c r="AI54">
        <f>MAX(L54:M54)</f>
        <v>22</v>
      </c>
      <c r="AJ54">
        <f>MIN(L54:M54)</f>
        <v>14</v>
      </c>
      <c r="AK54" t="s">
        <v>29</v>
      </c>
      <c r="AM54" s="16" t="s">
        <v>29</v>
      </c>
      <c r="AN54" s="16" t="s">
        <v>29</v>
      </c>
      <c r="AO54" s="16" t="s">
        <v>29</v>
      </c>
      <c r="AP54" s="16" t="s">
        <v>29</v>
      </c>
      <c r="AQ54" t="str">
        <f t="shared" si="0"/>
        <v>NA</v>
      </c>
      <c r="AR54" t="str">
        <f t="shared" si="1"/>
        <v>NA</v>
      </c>
    </row>
    <row r="55" spans="1:44" ht="14.4" x14ac:dyDescent="0.3">
      <c r="A55" s="1">
        <v>6</v>
      </c>
      <c r="B55" s="2" t="s">
        <v>30</v>
      </c>
      <c r="C55" s="3">
        <v>28</v>
      </c>
      <c r="D55" s="3">
        <v>4</v>
      </c>
      <c r="E55" s="3" t="s">
        <v>27</v>
      </c>
      <c r="F55" s="3" t="s">
        <v>31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3">
        <v>0</v>
      </c>
      <c r="W55" s="3">
        <v>0</v>
      </c>
      <c r="X55" s="3">
        <v>0</v>
      </c>
      <c r="Y55" s="3">
        <v>0</v>
      </c>
      <c r="AB55" s="10">
        <v>14</v>
      </c>
      <c r="AC55" s="10">
        <v>10</v>
      </c>
      <c r="AD55">
        <f>SUM(P55:U55)</f>
        <v>0</v>
      </c>
      <c r="AE55">
        <f>SUM(V55:Y55)</f>
        <v>0</v>
      </c>
      <c r="AF55">
        <f>ABS(AB55-AC55)</f>
        <v>4</v>
      </c>
      <c r="AG55">
        <f>AVERAGE(AB55:AC55)</f>
        <v>12</v>
      </c>
      <c r="AI55">
        <f>MAX(AB55:AC55)</f>
        <v>14</v>
      </c>
      <c r="AJ55">
        <f>MIN(AB55:AC55)</f>
        <v>10</v>
      </c>
      <c r="AK55" t="s">
        <v>29</v>
      </c>
      <c r="AM55" s="17">
        <f>SUM(P55,R55,T55)</f>
        <v>0</v>
      </c>
      <c r="AN55" s="17">
        <f>SUM(Q55,S55,U55)</f>
        <v>0</v>
      </c>
      <c r="AO55" s="17">
        <f>SUM(V55,X55)</f>
        <v>0</v>
      </c>
      <c r="AP55" s="17">
        <f>SUM(W55,Y55)</f>
        <v>0</v>
      </c>
      <c r="AQ55">
        <f t="shared" si="0"/>
        <v>14</v>
      </c>
      <c r="AR55">
        <f t="shared" si="1"/>
        <v>10</v>
      </c>
    </row>
    <row r="56" spans="1:44" ht="14.4" x14ac:dyDescent="0.3">
      <c r="A56" s="1">
        <v>6</v>
      </c>
      <c r="B56" s="2" t="s">
        <v>30</v>
      </c>
      <c r="C56" s="3">
        <v>35</v>
      </c>
      <c r="D56" s="3">
        <v>5</v>
      </c>
      <c r="E56" s="3" t="s">
        <v>27</v>
      </c>
      <c r="F56" s="3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3">
        <v>0</v>
      </c>
      <c r="W56" s="3">
        <v>0</v>
      </c>
      <c r="X56" s="3">
        <v>0</v>
      </c>
      <c r="Y56" s="3">
        <v>0</v>
      </c>
      <c r="AB56" s="11">
        <v>13</v>
      </c>
      <c r="AC56" s="10">
        <v>15</v>
      </c>
      <c r="AD56">
        <f>SUM(P56:U56)</f>
        <v>0</v>
      </c>
      <c r="AE56">
        <f>SUM(V56:Y56)</f>
        <v>0</v>
      </c>
      <c r="AF56">
        <f>ABS(AB56-AC56)</f>
        <v>2</v>
      </c>
      <c r="AG56">
        <f>AVERAGE(AB56:AC56)</f>
        <v>14</v>
      </c>
      <c r="AI56">
        <f>MAX(AB56:AC56)</f>
        <v>15</v>
      </c>
      <c r="AJ56">
        <f>MIN(AB56:AC56)</f>
        <v>13</v>
      </c>
      <c r="AK56" t="s">
        <v>29</v>
      </c>
      <c r="AM56" s="17">
        <f>SUM(P56,R56,T56)</f>
        <v>0</v>
      </c>
      <c r="AN56" s="17">
        <f>SUM(Q56,S56,U56)</f>
        <v>0</v>
      </c>
      <c r="AO56" s="17">
        <f>SUM(V56,X56)</f>
        <v>0</v>
      </c>
      <c r="AP56" s="17">
        <f>SUM(W56,Y56)</f>
        <v>0</v>
      </c>
      <c r="AQ56">
        <f t="shared" si="0"/>
        <v>13</v>
      </c>
      <c r="AR56">
        <f t="shared" si="1"/>
        <v>15</v>
      </c>
    </row>
    <row r="57" spans="1:44" ht="13.2" x14ac:dyDescent="0.25">
      <c r="A57" s="3">
        <v>14</v>
      </c>
      <c r="B57" s="3" t="s">
        <v>38</v>
      </c>
      <c r="C57" s="3">
        <v>7</v>
      </c>
      <c r="D57" s="3">
        <v>1</v>
      </c>
      <c r="E57" s="3" t="s">
        <v>27</v>
      </c>
      <c r="F57" s="3" t="s">
        <v>28</v>
      </c>
      <c r="G57" s="3">
        <v>20</v>
      </c>
      <c r="H57" s="3">
        <v>0</v>
      </c>
      <c r="I57" s="3">
        <v>0</v>
      </c>
      <c r="J57" s="3">
        <v>27</v>
      </c>
      <c r="K57" s="3">
        <v>0</v>
      </c>
      <c r="L57" s="3">
        <v>32</v>
      </c>
      <c r="M57" s="3">
        <v>25</v>
      </c>
      <c r="P57" s="9" t="s">
        <v>29</v>
      </c>
      <c r="Q57" s="9" t="s">
        <v>29</v>
      </c>
      <c r="R57" s="9" t="s">
        <v>29</v>
      </c>
      <c r="S57" s="9" t="s">
        <v>29</v>
      </c>
      <c r="T57" s="9" t="s">
        <v>29</v>
      </c>
      <c r="U57" s="9" t="s">
        <v>29</v>
      </c>
      <c r="V57" s="16" t="s">
        <v>29</v>
      </c>
      <c r="W57" s="16" t="s">
        <v>29</v>
      </c>
      <c r="X57" s="16" t="s">
        <v>29</v>
      </c>
      <c r="Y57" s="16" t="s">
        <v>29</v>
      </c>
      <c r="AB57" s="9" t="s">
        <v>29</v>
      </c>
      <c r="AC57" s="9" t="s">
        <v>29</v>
      </c>
      <c r="AD57">
        <f>SUM(G57:I57)</f>
        <v>20</v>
      </c>
      <c r="AE57">
        <f>SUM(J57:K57)</f>
        <v>27</v>
      </c>
      <c r="AF57">
        <f>ABS(L57-M57)</f>
        <v>7</v>
      </c>
      <c r="AG57">
        <f>AVERAGE(L57:M57)</f>
        <v>28.5</v>
      </c>
      <c r="AI57">
        <f>MAX(L57:M57)</f>
        <v>32</v>
      </c>
      <c r="AJ57">
        <f>MIN(L57:M57)</f>
        <v>25</v>
      </c>
      <c r="AK57" t="s">
        <v>29</v>
      </c>
      <c r="AM57" s="16" t="s">
        <v>29</v>
      </c>
      <c r="AN57" s="16" t="s">
        <v>29</v>
      </c>
      <c r="AO57" s="16" t="s">
        <v>29</v>
      </c>
      <c r="AP57" s="16" t="s">
        <v>29</v>
      </c>
      <c r="AQ57" t="str">
        <f t="shared" si="0"/>
        <v>NA</v>
      </c>
      <c r="AR57" t="str">
        <f t="shared" si="1"/>
        <v>NA</v>
      </c>
    </row>
    <row r="58" spans="1:44" ht="13.2" x14ac:dyDescent="0.25">
      <c r="A58" s="3">
        <v>14</v>
      </c>
      <c r="B58" s="3" t="s">
        <v>38</v>
      </c>
      <c r="C58" s="3">
        <v>14</v>
      </c>
      <c r="D58" s="3">
        <v>2</v>
      </c>
      <c r="E58" s="3" t="s">
        <v>27</v>
      </c>
      <c r="F58" s="3" t="s">
        <v>28</v>
      </c>
      <c r="G58" s="3">
        <v>11</v>
      </c>
      <c r="H58" s="3">
        <v>1</v>
      </c>
      <c r="I58" s="3">
        <v>0</v>
      </c>
      <c r="J58" s="3">
        <v>12</v>
      </c>
      <c r="K58" s="3">
        <v>0</v>
      </c>
      <c r="L58" s="3">
        <v>16</v>
      </c>
      <c r="M58" s="3">
        <v>19</v>
      </c>
      <c r="P58" s="9" t="s">
        <v>29</v>
      </c>
      <c r="Q58" s="9" t="s">
        <v>29</v>
      </c>
      <c r="R58" s="9" t="s">
        <v>29</v>
      </c>
      <c r="S58" s="9" t="s">
        <v>29</v>
      </c>
      <c r="T58" s="9" t="s">
        <v>29</v>
      </c>
      <c r="U58" s="9" t="s">
        <v>29</v>
      </c>
      <c r="V58" s="16" t="s">
        <v>29</v>
      </c>
      <c r="W58" s="16" t="s">
        <v>29</v>
      </c>
      <c r="X58" s="16" t="s">
        <v>29</v>
      </c>
      <c r="Y58" s="16" t="s">
        <v>29</v>
      </c>
      <c r="AB58" s="9" t="s">
        <v>29</v>
      </c>
      <c r="AC58" s="9" t="s">
        <v>29</v>
      </c>
      <c r="AD58">
        <f>SUM(G58:I58)</f>
        <v>12</v>
      </c>
      <c r="AE58">
        <f>SUM(J58:K58)</f>
        <v>12</v>
      </c>
      <c r="AF58">
        <f>ABS(L58-M58)</f>
        <v>3</v>
      </c>
      <c r="AG58">
        <f>AVERAGE(L58:M58)</f>
        <v>17.5</v>
      </c>
      <c r="AI58">
        <f>MAX(L58:M58)</f>
        <v>19</v>
      </c>
      <c r="AJ58">
        <f>MIN(L58:M58)</f>
        <v>16</v>
      </c>
      <c r="AK58" t="s">
        <v>29</v>
      </c>
      <c r="AM58" s="16" t="s">
        <v>29</v>
      </c>
      <c r="AN58" s="16" t="s">
        <v>29</v>
      </c>
      <c r="AO58" s="16" t="s">
        <v>29</v>
      </c>
      <c r="AP58" s="16" t="s">
        <v>29</v>
      </c>
      <c r="AQ58" t="str">
        <f t="shared" si="0"/>
        <v>NA</v>
      </c>
      <c r="AR58" t="str">
        <f t="shared" si="1"/>
        <v>NA</v>
      </c>
    </row>
    <row r="59" spans="1:44" ht="13.2" x14ac:dyDescent="0.25">
      <c r="A59" s="3">
        <v>14</v>
      </c>
      <c r="B59" s="3" t="s">
        <v>38</v>
      </c>
      <c r="C59" s="3">
        <v>21</v>
      </c>
      <c r="D59" s="3">
        <v>3</v>
      </c>
      <c r="E59" s="3" t="s">
        <v>27</v>
      </c>
      <c r="F59" s="3" t="s">
        <v>28</v>
      </c>
      <c r="G59" s="3">
        <v>8</v>
      </c>
      <c r="H59" s="3">
        <v>0</v>
      </c>
      <c r="I59" s="3">
        <v>1</v>
      </c>
      <c r="J59" s="3">
        <v>6</v>
      </c>
      <c r="K59" s="3">
        <v>1</v>
      </c>
      <c r="L59" s="3">
        <v>17</v>
      </c>
      <c r="M59" s="3">
        <v>21</v>
      </c>
      <c r="P59" s="9" t="s">
        <v>29</v>
      </c>
      <c r="Q59" s="9" t="s">
        <v>29</v>
      </c>
      <c r="R59" s="9" t="s">
        <v>29</v>
      </c>
      <c r="S59" s="9" t="s">
        <v>29</v>
      </c>
      <c r="T59" s="9" t="s">
        <v>29</v>
      </c>
      <c r="U59" s="9" t="s">
        <v>29</v>
      </c>
      <c r="V59" s="16" t="s">
        <v>29</v>
      </c>
      <c r="W59" s="16" t="s">
        <v>29</v>
      </c>
      <c r="X59" s="16" t="s">
        <v>29</v>
      </c>
      <c r="Y59" s="16" t="s">
        <v>29</v>
      </c>
      <c r="AB59" s="9" t="s">
        <v>29</v>
      </c>
      <c r="AC59" s="9" t="s">
        <v>29</v>
      </c>
      <c r="AD59">
        <f>SUM(G59:I59)</f>
        <v>9</v>
      </c>
      <c r="AE59">
        <f>SUM(J59:K59)</f>
        <v>7</v>
      </c>
      <c r="AF59">
        <f>ABS(L59-M59)</f>
        <v>4</v>
      </c>
      <c r="AG59">
        <f>AVERAGE(L59:M59)</f>
        <v>19</v>
      </c>
      <c r="AI59">
        <f>MAX(L59:M59)</f>
        <v>21</v>
      </c>
      <c r="AJ59">
        <f>MIN(L59:M59)</f>
        <v>17</v>
      </c>
      <c r="AK59" t="s">
        <v>29</v>
      </c>
      <c r="AM59" s="16" t="s">
        <v>29</v>
      </c>
      <c r="AN59" s="16" t="s">
        <v>29</v>
      </c>
      <c r="AO59" s="16" t="s">
        <v>29</v>
      </c>
      <c r="AP59" s="16" t="s">
        <v>29</v>
      </c>
      <c r="AQ59" t="str">
        <f t="shared" si="0"/>
        <v>NA</v>
      </c>
      <c r="AR59" t="str">
        <f t="shared" si="1"/>
        <v>NA</v>
      </c>
    </row>
    <row r="60" spans="1:44" ht="13.2" x14ac:dyDescent="0.25">
      <c r="A60" s="3">
        <v>14</v>
      </c>
      <c r="B60" s="3" t="s">
        <v>38</v>
      </c>
      <c r="C60" s="3">
        <v>28</v>
      </c>
      <c r="D60" s="3">
        <v>4</v>
      </c>
      <c r="E60" s="3" t="s">
        <v>27</v>
      </c>
      <c r="F60" s="3" t="s">
        <v>28</v>
      </c>
      <c r="G60" s="3">
        <v>1</v>
      </c>
      <c r="H60" s="3">
        <v>0</v>
      </c>
      <c r="I60" s="3">
        <v>0</v>
      </c>
      <c r="J60" s="3">
        <v>1</v>
      </c>
      <c r="K60" s="3">
        <v>0</v>
      </c>
      <c r="L60" s="3">
        <v>14</v>
      </c>
      <c r="M60" s="3">
        <v>11</v>
      </c>
      <c r="P60" s="9" t="s">
        <v>29</v>
      </c>
      <c r="Q60" s="9" t="s">
        <v>29</v>
      </c>
      <c r="R60" s="9" t="s">
        <v>29</v>
      </c>
      <c r="S60" s="9" t="s">
        <v>29</v>
      </c>
      <c r="T60" s="9" t="s">
        <v>29</v>
      </c>
      <c r="U60" s="9" t="s">
        <v>29</v>
      </c>
      <c r="V60" s="16" t="s">
        <v>29</v>
      </c>
      <c r="W60" s="16" t="s">
        <v>29</v>
      </c>
      <c r="X60" s="16" t="s">
        <v>29</v>
      </c>
      <c r="Y60" s="16" t="s">
        <v>29</v>
      </c>
      <c r="AB60" s="9" t="s">
        <v>29</v>
      </c>
      <c r="AC60" s="9" t="s">
        <v>29</v>
      </c>
      <c r="AD60">
        <f>SUM(G60:I60)</f>
        <v>1</v>
      </c>
      <c r="AE60">
        <f>SUM(J60:K60)</f>
        <v>1</v>
      </c>
      <c r="AF60">
        <f>ABS(L60-M60)</f>
        <v>3</v>
      </c>
      <c r="AG60">
        <f>AVERAGE(L60:M60)</f>
        <v>12.5</v>
      </c>
      <c r="AI60">
        <f>MAX(L60:M60)</f>
        <v>14</v>
      </c>
      <c r="AJ60">
        <f>MIN(L60:M60)</f>
        <v>11</v>
      </c>
      <c r="AK60" t="s">
        <v>29</v>
      </c>
      <c r="AM60" s="16" t="s">
        <v>29</v>
      </c>
      <c r="AN60" s="16" t="s">
        <v>29</v>
      </c>
      <c r="AO60" s="16" t="s">
        <v>29</v>
      </c>
      <c r="AP60" s="16" t="s">
        <v>29</v>
      </c>
      <c r="AQ60" t="str">
        <f t="shared" si="0"/>
        <v>NA</v>
      </c>
      <c r="AR60" t="str">
        <f t="shared" si="1"/>
        <v>NA</v>
      </c>
    </row>
    <row r="61" spans="1:44" ht="13.2" x14ac:dyDescent="0.25">
      <c r="A61" s="3">
        <v>14</v>
      </c>
      <c r="B61" s="3" t="s">
        <v>38</v>
      </c>
      <c r="C61" s="3">
        <v>35</v>
      </c>
      <c r="D61" s="3">
        <v>5</v>
      </c>
      <c r="E61" s="3" t="s">
        <v>27</v>
      </c>
      <c r="F61" s="3" t="s">
        <v>28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14</v>
      </c>
      <c r="M61" s="3">
        <v>18</v>
      </c>
      <c r="P61" s="9" t="s">
        <v>29</v>
      </c>
      <c r="Q61" s="9" t="s">
        <v>29</v>
      </c>
      <c r="R61" s="9" t="s">
        <v>29</v>
      </c>
      <c r="S61" s="9" t="s">
        <v>29</v>
      </c>
      <c r="T61" s="9" t="s">
        <v>29</v>
      </c>
      <c r="U61" s="9" t="s">
        <v>29</v>
      </c>
      <c r="V61" s="16" t="s">
        <v>29</v>
      </c>
      <c r="W61" s="16" t="s">
        <v>29</v>
      </c>
      <c r="X61" s="16" t="s">
        <v>29</v>
      </c>
      <c r="Y61" s="16" t="s">
        <v>29</v>
      </c>
      <c r="AB61" s="9" t="s">
        <v>29</v>
      </c>
      <c r="AC61" s="9" t="s">
        <v>29</v>
      </c>
      <c r="AD61">
        <f>SUM(G61:I61)</f>
        <v>0</v>
      </c>
      <c r="AE61">
        <f>SUM(J61:K61)</f>
        <v>0</v>
      </c>
      <c r="AF61">
        <f>ABS(L61-M61)</f>
        <v>4</v>
      </c>
      <c r="AG61">
        <f>AVERAGE(L61:M61)</f>
        <v>16</v>
      </c>
      <c r="AI61">
        <f>MAX(L61:M61)</f>
        <v>18</v>
      </c>
      <c r="AJ61">
        <f>MIN(L61:M61)</f>
        <v>14</v>
      </c>
      <c r="AK61" t="s">
        <v>29</v>
      </c>
      <c r="AM61" s="16" t="s">
        <v>29</v>
      </c>
      <c r="AN61" s="16" t="s">
        <v>29</v>
      </c>
      <c r="AO61" s="16" t="s">
        <v>29</v>
      </c>
      <c r="AP61" s="16" t="s">
        <v>29</v>
      </c>
      <c r="AQ61" t="str">
        <f t="shared" si="0"/>
        <v>NA</v>
      </c>
      <c r="AR61" t="str">
        <f t="shared" si="1"/>
        <v>NA</v>
      </c>
    </row>
    <row r="62" spans="1:44" ht="14.4" x14ac:dyDescent="0.3">
      <c r="A62" s="3">
        <v>13</v>
      </c>
      <c r="B62" s="3" t="s">
        <v>46</v>
      </c>
      <c r="C62" s="3">
        <v>7</v>
      </c>
      <c r="D62" s="3">
        <v>1</v>
      </c>
      <c r="E62" s="3" t="s">
        <v>27</v>
      </c>
      <c r="F62" s="2" t="s">
        <v>28</v>
      </c>
      <c r="G62" s="3">
        <v>18</v>
      </c>
      <c r="H62" s="3">
        <v>0</v>
      </c>
      <c r="I62" s="3">
        <v>0</v>
      </c>
      <c r="J62" s="3">
        <v>16</v>
      </c>
      <c r="K62" s="3">
        <v>0</v>
      </c>
      <c r="L62" s="3">
        <v>22</v>
      </c>
      <c r="M62" s="3">
        <v>24</v>
      </c>
      <c r="P62" s="9" t="s">
        <v>29</v>
      </c>
      <c r="Q62" s="9" t="s">
        <v>29</v>
      </c>
      <c r="R62" s="9" t="s">
        <v>29</v>
      </c>
      <c r="S62" s="9" t="s">
        <v>29</v>
      </c>
      <c r="T62" s="9" t="s">
        <v>29</v>
      </c>
      <c r="U62" s="9" t="s">
        <v>29</v>
      </c>
      <c r="V62" s="16" t="s">
        <v>29</v>
      </c>
      <c r="W62" s="16" t="s">
        <v>29</v>
      </c>
      <c r="X62" s="16" t="s">
        <v>29</v>
      </c>
      <c r="Y62" s="16" t="s">
        <v>29</v>
      </c>
      <c r="AB62" s="9" t="s">
        <v>29</v>
      </c>
      <c r="AC62" s="9" t="s">
        <v>29</v>
      </c>
      <c r="AD62">
        <f>SUM(G62:I62)</f>
        <v>18</v>
      </c>
      <c r="AE62">
        <f>SUM(J62:K62)</f>
        <v>16</v>
      </c>
      <c r="AF62">
        <f>ABS(L62-M62)</f>
        <v>2</v>
      </c>
      <c r="AG62">
        <f>AVERAGE(L62:M62)</f>
        <v>23</v>
      </c>
      <c r="AI62">
        <f>MAX(L62:M62)</f>
        <v>24</v>
      </c>
      <c r="AJ62">
        <f>MIN(L62:M62)</f>
        <v>22</v>
      </c>
      <c r="AK62" t="s">
        <v>29</v>
      </c>
      <c r="AM62" s="16" t="s">
        <v>29</v>
      </c>
      <c r="AN62" s="16" t="s">
        <v>29</v>
      </c>
      <c r="AO62" s="16" t="s">
        <v>29</v>
      </c>
      <c r="AP62" s="16" t="s">
        <v>29</v>
      </c>
      <c r="AQ62" t="str">
        <f t="shared" si="0"/>
        <v>NA</v>
      </c>
      <c r="AR62" t="str">
        <f t="shared" si="1"/>
        <v>NA</v>
      </c>
    </row>
    <row r="63" spans="1:44" ht="14.4" x14ac:dyDescent="0.3">
      <c r="A63" s="3">
        <v>13</v>
      </c>
      <c r="B63" s="3" t="s">
        <v>46</v>
      </c>
      <c r="C63" s="3">
        <v>14</v>
      </c>
      <c r="D63" s="3">
        <v>2</v>
      </c>
      <c r="E63" s="3" t="s">
        <v>27</v>
      </c>
      <c r="F63" s="2" t="s">
        <v>28</v>
      </c>
      <c r="G63" s="3">
        <v>8</v>
      </c>
      <c r="H63" s="3">
        <v>0</v>
      </c>
      <c r="I63" s="3">
        <v>0</v>
      </c>
      <c r="J63" s="3">
        <v>8</v>
      </c>
      <c r="K63" s="3">
        <v>0</v>
      </c>
      <c r="L63" s="3">
        <v>20</v>
      </c>
      <c r="M63" s="3">
        <v>21</v>
      </c>
      <c r="P63" s="9" t="s">
        <v>29</v>
      </c>
      <c r="Q63" s="9" t="s">
        <v>29</v>
      </c>
      <c r="R63" s="9" t="s">
        <v>29</v>
      </c>
      <c r="S63" s="9" t="s">
        <v>29</v>
      </c>
      <c r="T63" s="9" t="s">
        <v>29</v>
      </c>
      <c r="U63" s="9" t="s">
        <v>29</v>
      </c>
      <c r="V63" s="16" t="s">
        <v>29</v>
      </c>
      <c r="W63" s="16" t="s">
        <v>29</v>
      </c>
      <c r="X63" s="16" t="s">
        <v>29</v>
      </c>
      <c r="Y63" s="16" t="s">
        <v>29</v>
      </c>
      <c r="AB63" s="9" t="s">
        <v>29</v>
      </c>
      <c r="AC63" s="9" t="s">
        <v>29</v>
      </c>
      <c r="AD63">
        <f>SUM(G63:I63)</f>
        <v>8</v>
      </c>
      <c r="AE63">
        <f>SUM(J63:K63)</f>
        <v>8</v>
      </c>
      <c r="AF63">
        <f>ABS(L63-M63)</f>
        <v>1</v>
      </c>
      <c r="AG63">
        <f>AVERAGE(L63:M63)</f>
        <v>20.5</v>
      </c>
      <c r="AI63">
        <f>MAX(L63:M63)</f>
        <v>21</v>
      </c>
      <c r="AJ63">
        <f>MIN(L63:M63)</f>
        <v>20</v>
      </c>
      <c r="AK63" t="s">
        <v>29</v>
      </c>
      <c r="AM63" s="16" t="s">
        <v>29</v>
      </c>
      <c r="AN63" s="16" t="s">
        <v>29</v>
      </c>
      <c r="AO63" s="16" t="s">
        <v>29</v>
      </c>
      <c r="AP63" s="16" t="s">
        <v>29</v>
      </c>
      <c r="AQ63" t="str">
        <f t="shared" si="0"/>
        <v>NA</v>
      </c>
      <c r="AR63" t="str">
        <f t="shared" si="1"/>
        <v>NA</v>
      </c>
    </row>
    <row r="64" spans="1:44" ht="14.4" x14ac:dyDescent="0.3">
      <c r="A64" s="3">
        <v>13</v>
      </c>
      <c r="B64" s="3" t="s">
        <v>46</v>
      </c>
      <c r="C64" s="3">
        <v>21</v>
      </c>
      <c r="D64" s="3">
        <v>3</v>
      </c>
      <c r="E64" s="3" t="s">
        <v>27</v>
      </c>
      <c r="F64" s="2" t="s">
        <v>28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24</v>
      </c>
      <c r="M64" s="6">
        <v>3</v>
      </c>
      <c r="P64" s="9" t="s">
        <v>29</v>
      </c>
      <c r="Q64" s="9" t="s">
        <v>29</v>
      </c>
      <c r="R64" s="9" t="s">
        <v>29</v>
      </c>
      <c r="S64" s="9" t="s">
        <v>29</v>
      </c>
      <c r="T64" s="9" t="s">
        <v>29</v>
      </c>
      <c r="U64" s="9" t="s">
        <v>29</v>
      </c>
      <c r="V64" s="16" t="s">
        <v>29</v>
      </c>
      <c r="W64" s="16" t="s">
        <v>29</v>
      </c>
      <c r="X64" s="16" t="s">
        <v>29</v>
      </c>
      <c r="Y64" s="16" t="s">
        <v>29</v>
      </c>
      <c r="AB64" s="9" t="s">
        <v>29</v>
      </c>
      <c r="AC64" s="9" t="s">
        <v>29</v>
      </c>
      <c r="AD64">
        <f>SUM(G64:I64)</f>
        <v>1</v>
      </c>
      <c r="AE64">
        <f>SUM(J64:K64)</f>
        <v>0</v>
      </c>
      <c r="AF64">
        <f>ABS(L64-M64)</f>
        <v>21</v>
      </c>
      <c r="AG64">
        <f>AVERAGE(L64:M64)</f>
        <v>13.5</v>
      </c>
      <c r="AI64">
        <f>MAX(L64:M64)</f>
        <v>24</v>
      </c>
      <c r="AJ64">
        <f>MIN(L64:M64)</f>
        <v>3</v>
      </c>
      <c r="AK64" t="s">
        <v>29</v>
      </c>
      <c r="AM64" s="16" t="s">
        <v>29</v>
      </c>
      <c r="AN64" s="16" t="s">
        <v>29</v>
      </c>
      <c r="AO64" s="16" t="s">
        <v>29</v>
      </c>
      <c r="AP64" s="16" t="s">
        <v>29</v>
      </c>
      <c r="AQ64" t="str">
        <f t="shared" si="0"/>
        <v>NA</v>
      </c>
      <c r="AR64" t="str">
        <f t="shared" si="1"/>
        <v>NA</v>
      </c>
    </row>
    <row r="65" spans="1:44" ht="14.4" x14ac:dyDescent="0.3">
      <c r="A65" s="3">
        <v>13</v>
      </c>
      <c r="B65" s="3" t="s">
        <v>46</v>
      </c>
      <c r="C65" s="3">
        <v>28</v>
      </c>
      <c r="D65" s="3">
        <v>4</v>
      </c>
      <c r="E65" s="3" t="s">
        <v>27</v>
      </c>
      <c r="F65" s="2" t="s">
        <v>28</v>
      </c>
      <c r="G65" s="3">
        <v>1</v>
      </c>
      <c r="H65" s="3">
        <v>0</v>
      </c>
      <c r="I65" s="3">
        <v>0</v>
      </c>
      <c r="J65" s="3">
        <v>1</v>
      </c>
      <c r="K65" s="3">
        <v>0</v>
      </c>
      <c r="L65" s="3">
        <v>8</v>
      </c>
      <c r="M65" s="3">
        <v>12</v>
      </c>
      <c r="P65" s="9" t="s">
        <v>29</v>
      </c>
      <c r="Q65" s="9" t="s">
        <v>29</v>
      </c>
      <c r="R65" s="9" t="s">
        <v>29</v>
      </c>
      <c r="S65" s="9" t="s">
        <v>29</v>
      </c>
      <c r="T65" s="9" t="s">
        <v>29</v>
      </c>
      <c r="U65" s="9" t="s">
        <v>29</v>
      </c>
      <c r="V65" s="16" t="s">
        <v>29</v>
      </c>
      <c r="W65" s="16" t="s">
        <v>29</v>
      </c>
      <c r="X65" s="16" t="s">
        <v>29</v>
      </c>
      <c r="Y65" s="16" t="s">
        <v>29</v>
      </c>
      <c r="AB65" s="9" t="s">
        <v>29</v>
      </c>
      <c r="AC65" s="9" t="s">
        <v>29</v>
      </c>
      <c r="AD65">
        <f>SUM(G65:I65)</f>
        <v>1</v>
      </c>
      <c r="AE65">
        <f>SUM(J65:K65)</f>
        <v>1</v>
      </c>
      <c r="AF65">
        <f>ABS(L65-M65)</f>
        <v>4</v>
      </c>
      <c r="AG65">
        <f>AVERAGE(L65:M65)</f>
        <v>10</v>
      </c>
      <c r="AI65">
        <f>MAX(L65:M65)</f>
        <v>12</v>
      </c>
      <c r="AJ65">
        <f>MIN(L65:M65)</f>
        <v>8</v>
      </c>
      <c r="AK65" t="s">
        <v>29</v>
      </c>
      <c r="AM65" s="16" t="s">
        <v>29</v>
      </c>
      <c r="AN65" s="16" t="s">
        <v>29</v>
      </c>
      <c r="AO65" s="16" t="s">
        <v>29</v>
      </c>
      <c r="AP65" s="16" t="s">
        <v>29</v>
      </c>
      <c r="AQ65" t="str">
        <f t="shared" si="0"/>
        <v>NA</v>
      </c>
      <c r="AR65" t="str">
        <f t="shared" si="1"/>
        <v>NA</v>
      </c>
    </row>
    <row r="66" spans="1:44" ht="14.4" x14ac:dyDescent="0.3">
      <c r="A66" s="3">
        <v>13</v>
      </c>
      <c r="B66" s="3" t="s">
        <v>46</v>
      </c>
      <c r="C66" s="3">
        <v>35</v>
      </c>
      <c r="D66" s="3">
        <v>5</v>
      </c>
      <c r="E66" s="3" t="s">
        <v>27</v>
      </c>
      <c r="F66" s="2" t="s">
        <v>28</v>
      </c>
      <c r="G66" s="3">
        <v>1</v>
      </c>
      <c r="H66" s="3">
        <v>0</v>
      </c>
      <c r="I66" s="3">
        <v>0</v>
      </c>
      <c r="J66" s="3">
        <v>1</v>
      </c>
      <c r="K66" s="3">
        <v>0</v>
      </c>
      <c r="L66" s="3">
        <v>18</v>
      </c>
      <c r="M66" s="3">
        <v>17</v>
      </c>
      <c r="P66" s="9" t="s">
        <v>29</v>
      </c>
      <c r="Q66" s="9" t="s">
        <v>29</v>
      </c>
      <c r="R66" s="9" t="s">
        <v>29</v>
      </c>
      <c r="S66" s="9" t="s">
        <v>29</v>
      </c>
      <c r="T66" s="9" t="s">
        <v>29</v>
      </c>
      <c r="U66" s="9" t="s">
        <v>29</v>
      </c>
      <c r="V66" s="16" t="s">
        <v>29</v>
      </c>
      <c r="W66" s="16" t="s">
        <v>29</v>
      </c>
      <c r="X66" s="16" t="s">
        <v>29</v>
      </c>
      <c r="Y66" s="16" t="s">
        <v>29</v>
      </c>
      <c r="AB66" s="9" t="s">
        <v>29</v>
      </c>
      <c r="AC66" s="9" t="s">
        <v>29</v>
      </c>
      <c r="AD66">
        <f>SUM(G66:I66)</f>
        <v>1</v>
      </c>
      <c r="AE66">
        <f>SUM(J66:K66)</f>
        <v>1</v>
      </c>
      <c r="AF66">
        <f>ABS(L66-M66)</f>
        <v>1</v>
      </c>
      <c r="AG66">
        <f>AVERAGE(L66:M66)</f>
        <v>17.5</v>
      </c>
      <c r="AI66">
        <f>MAX(L66:M66)</f>
        <v>18</v>
      </c>
      <c r="AJ66">
        <f>MIN(L66:M66)</f>
        <v>17</v>
      </c>
      <c r="AK66" t="s">
        <v>29</v>
      </c>
      <c r="AM66" s="16" t="s">
        <v>29</v>
      </c>
      <c r="AN66" s="16" t="s">
        <v>29</v>
      </c>
      <c r="AO66" s="16" t="s">
        <v>29</v>
      </c>
      <c r="AP66" s="16" t="s">
        <v>29</v>
      </c>
      <c r="AQ66" t="str">
        <f t="shared" si="0"/>
        <v>NA</v>
      </c>
      <c r="AR66" t="str">
        <f t="shared" si="1"/>
        <v>NA</v>
      </c>
    </row>
    <row r="67" spans="1:44" ht="13.2" x14ac:dyDescent="0.25">
      <c r="A67" s="3">
        <v>24</v>
      </c>
      <c r="B67" s="3" t="s">
        <v>34</v>
      </c>
      <c r="C67" s="3">
        <v>7</v>
      </c>
      <c r="D67" s="3">
        <v>1</v>
      </c>
      <c r="E67" s="3" t="s">
        <v>27</v>
      </c>
      <c r="F67" s="3" t="s">
        <v>28</v>
      </c>
      <c r="G67" s="3">
        <v>4</v>
      </c>
      <c r="H67" s="3">
        <v>0</v>
      </c>
      <c r="I67" s="3">
        <v>1</v>
      </c>
      <c r="J67" s="3">
        <v>1</v>
      </c>
      <c r="K67" s="3">
        <v>1</v>
      </c>
      <c r="L67" s="3">
        <v>30</v>
      </c>
      <c r="M67" s="3">
        <v>30</v>
      </c>
      <c r="P67" s="9" t="s">
        <v>29</v>
      </c>
      <c r="Q67" s="9" t="s">
        <v>29</v>
      </c>
      <c r="R67" s="9" t="s">
        <v>29</v>
      </c>
      <c r="S67" s="9" t="s">
        <v>29</v>
      </c>
      <c r="T67" s="9" t="s">
        <v>29</v>
      </c>
      <c r="U67" s="9" t="s">
        <v>29</v>
      </c>
      <c r="V67" s="16" t="s">
        <v>29</v>
      </c>
      <c r="W67" s="16" t="s">
        <v>29</v>
      </c>
      <c r="X67" s="16" t="s">
        <v>29</v>
      </c>
      <c r="Y67" s="16" t="s">
        <v>29</v>
      </c>
      <c r="AB67" s="9" t="s">
        <v>29</v>
      </c>
      <c r="AC67" s="9" t="s">
        <v>29</v>
      </c>
      <c r="AD67">
        <f>SUM(G67:I67)</f>
        <v>5</v>
      </c>
      <c r="AE67">
        <f>SUM(J67:K67)</f>
        <v>2</v>
      </c>
      <c r="AF67">
        <f>ABS(L67-M67)</f>
        <v>0</v>
      </c>
      <c r="AG67">
        <f>AVERAGE(L67:M67)</f>
        <v>30</v>
      </c>
      <c r="AI67">
        <f>MAX(L67:M67)</f>
        <v>30</v>
      </c>
      <c r="AJ67">
        <f>MIN(L67:M67)</f>
        <v>30</v>
      </c>
      <c r="AK67" t="s">
        <v>29</v>
      </c>
      <c r="AM67" s="16" t="s">
        <v>29</v>
      </c>
      <c r="AN67" s="16" t="s">
        <v>29</v>
      </c>
      <c r="AO67" s="16" t="s">
        <v>29</v>
      </c>
      <c r="AP67" s="16" t="s">
        <v>29</v>
      </c>
      <c r="AQ67" t="str">
        <f t="shared" ref="AQ67:AQ130" si="2">AB67</f>
        <v>NA</v>
      </c>
      <c r="AR67" t="str">
        <f t="shared" ref="AR67:AR130" si="3">AC67</f>
        <v>NA</v>
      </c>
    </row>
    <row r="68" spans="1:44" ht="13.2" x14ac:dyDescent="0.25">
      <c r="A68" s="3">
        <v>24</v>
      </c>
      <c r="B68" s="3" t="s">
        <v>34</v>
      </c>
      <c r="C68" s="3">
        <v>14</v>
      </c>
      <c r="D68" s="3">
        <v>2</v>
      </c>
      <c r="E68" s="3" t="s">
        <v>27</v>
      </c>
      <c r="F68" t="s">
        <v>29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P68" s="9" t="s">
        <v>29</v>
      </c>
      <c r="Q68" s="9" t="s">
        <v>29</v>
      </c>
      <c r="R68" s="9" t="s">
        <v>29</v>
      </c>
      <c r="S68" s="9" t="s">
        <v>29</v>
      </c>
      <c r="T68" s="9" t="s">
        <v>29</v>
      </c>
      <c r="U68" s="9" t="s">
        <v>29</v>
      </c>
      <c r="V68" s="16" t="s">
        <v>29</v>
      </c>
      <c r="W68" s="16" t="s">
        <v>29</v>
      </c>
      <c r="X68" s="16" t="s">
        <v>29</v>
      </c>
      <c r="Y68" s="16" t="s">
        <v>29</v>
      </c>
      <c r="AB68" s="9" t="s">
        <v>29</v>
      </c>
      <c r="AC68" s="9" t="s">
        <v>29</v>
      </c>
      <c r="AD68" s="3" t="s">
        <v>29</v>
      </c>
      <c r="AE68" s="3" t="s">
        <v>29</v>
      </c>
      <c r="AF68" s="3" t="s">
        <v>29</v>
      </c>
      <c r="AG68" s="3" t="s">
        <v>29</v>
      </c>
      <c r="AH68" s="3" t="s">
        <v>29</v>
      </c>
      <c r="AI68" s="3" t="s">
        <v>29</v>
      </c>
      <c r="AJ68" s="3" t="s">
        <v>29</v>
      </c>
      <c r="AK68" s="3" t="s">
        <v>29</v>
      </c>
      <c r="AM68" s="16" t="s">
        <v>29</v>
      </c>
      <c r="AN68" s="16" t="s">
        <v>29</v>
      </c>
      <c r="AO68" s="16" t="s">
        <v>29</v>
      </c>
      <c r="AP68" s="16" t="s">
        <v>29</v>
      </c>
      <c r="AQ68" t="str">
        <f t="shared" si="2"/>
        <v>NA</v>
      </c>
      <c r="AR68" t="str">
        <f t="shared" si="3"/>
        <v>NA</v>
      </c>
    </row>
    <row r="69" spans="1:44" ht="13.2" x14ac:dyDescent="0.25">
      <c r="A69" s="3">
        <v>24</v>
      </c>
      <c r="B69" s="3" t="s">
        <v>34</v>
      </c>
      <c r="C69" s="3">
        <v>21</v>
      </c>
      <c r="D69" s="3">
        <v>3</v>
      </c>
      <c r="E69" s="3" t="s">
        <v>27</v>
      </c>
      <c r="F69" s="3" t="s">
        <v>28</v>
      </c>
      <c r="G69" s="3" t="s">
        <v>29</v>
      </c>
      <c r="H69" s="3" t="s">
        <v>29</v>
      </c>
      <c r="I69" s="3" t="s">
        <v>29</v>
      </c>
      <c r="J69" s="3" t="s">
        <v>29</v>
      </c>
      <c r="K69" s="3" t="s">
        <v>29</v>
      </c>
      <c r="L69" s="3">
        <v>45</v>
      </c>
      <c r="M69" s="3">
        <v>43</v>
      </c>
      <c r="P69" s="9" t="s">
        <v>29</v>
      </c>
      <c r="Q69" s="9" t="s">
        <v>29</v>
      </c>
      <c r="R69" s="9" t="s">
        <v>29</v>
      </c>
      <c r="S69" s="9" t="s">
        <v>29</v>
      </c>
      <c r="T69" s="9" t="s">
        <v>29</v>
      </c>
      <c r="U69" s="9" t="s">
        <v>29</v>
      </c>
      <c r="V69" s="16" t="s">
        <v>29</v>
      </c>
      <c r="W69" s="16" t="s">
        <v>29</v>
      </c>
      <c r="X69" s="16" t="s">
        <v>29</v>
      </c>
      <c r="Y69" s="16" t="s">
        <v>29</v>
      </c>
      <c r="AB69" s="9" t="s">
        <v>29</v>
      </c>
      <c r="AC69" s="9" t="s">
        <v>29</v>
      </c>
      <c r="AD69">
        <f>SUM(G69:I69)</f>
        <v>0</v>
      </c>
      <c r="AE69">
        <f>SUM(J69:K69)</f>
        <v>0</v>
      </c>
      <c r="AF69">
        <f>ABS(L69-M69)</f>
        <v>2</v>
      </c>
      <c r="AG69">
        <f>AVERAGE(L69:M69)</f>
        <v>44</v>
      </c>
      <c r="AI69">
        <f>MAX(L69:M69)</f>
        <v>45</v>
      </c>
      <c r="AJ69">
        <f>MIN(L69:M69)</f>
        <v>43</v>
      </c>
      <c r="AK69" t="s">
        <v>29</v>
      </c>
      <c r="AM69" s="16" t="s">
        <v>29</v>
      </c>
      <c r="AN69" s="16" t="s">
        <v>29</v>
      </c>
      <c r="AO69" s="16" t="s">
        <v>29</v>
      </c>
      <c r="AP69" s="16" t="s">
        <v>29</v>
      </c>
      <c r="AQ69" t="str">
        <f t="shared" si="2"/>
        <v>NA</v>
      </c>
      <c r="AR69" t="str">
        <f t="shared" si="3"/>
        <v>NA</v>
      </c>
    </row>
    <row r="70" spans="1:44" ht="13.2" x14ac:dyDescent="0.25">
      <c r="A70" s="3">
        <v>24</v>
      </c>
      <c r="B70" s="3" t="s">
        <v>34</v>
      </c>
      <c r="C70" s="3">
        <v>28</v>
      </c>
      <c r="D70" s="3">
        <v>4</v>
      </c>
      <c r="E70" s="3" t="s">
        <v>27</v>
      </c>
      <c r="F70" s="3" t="s">
        <v>28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>
        <v>22</v>
      </c>
      <c r="M70" s="3">
        <v>28</v>
      </c>
      <c r="P70" s="9" t="s">
        <v>29</v>
      </c>
      <c r="Q70" s="9" t="s">
        <v>29</v>
      </c>
      <c r="R70" s="9" t="s">
        <v>29</v>
      </c>
      <c r="S70" s="9" t="s">
        <v>29</v>
      </c>
      <c r="T70" s="9" t="s">
        <v>29</v>
      </c>
      <c r="U70" s="9" t="s">
        <v>29</v>
      </c>
      <c r="V70" s="16" t="s">
        <v>29</v>
      </c>
      <c r="W70" s="16" t="s">
        <v>29</v>
      </c>
      <c r="X70" s="16" t="s">
        <v>29</v>
      </c>
      <c r="Y70" s="16" t="s">
        <v>29</v>
      </c>
      <c r="AB70" s="9" t="s">
        <v>29</v>
      </c>
      <c r="AC70" s="9" t="s">
        <v>29</v>
      </c>
      <c r="AF70">
        <f>ABS(L70-M70)</f>
        <v>6</v>
      </c>
      <c r="AG70">
        <f>AVERAGE(L70:M70)</f>
        <v>25</v>
      </c>
      <c r="AI70">
        <f>MAX(L70:M70)</f>
        <v>28</v>
      </c>
      <c r="AJ70">
        <f>MIN(L70:M70)</f>
        <v>22</v>
      </c>
      <c r="AM70" s="16" t="s">
        <v>29</v>
      </c>
      <c r="AN70" s="16" t="s">
        <v>29</v>
      </c>
      <c r="AO70" s="16" t="s">
        <v>29</v>
      </c>
      <c r="AP70" s="16" t="s">
        <v>29</v>
      </c>
      <c r="AQ70" t="str">
        <f t="shared" si="2"/>
        <v>NA</v>
      </c>
      <c r="AR70" t="str">
        <f t="shared" si="3"/>
        <v>NA</v>
      </c>
    </row>
    <row r="71" spans="1:44" ht="13.2" x14ac:dyDescent="0.25">
      <c r="A71" s="3">
        <v>24</v>
      </c>
      <c r="B71" s="3" t="s">
        <v>34</v>
      </c>
      <c r="C71" s="3">
        <v>35</v>
      </c>
      <c r="D71" s="3">
        <v>5</v>
      </c>
      <c r="E71" s="3" t="s">
        <v>27</v>
      </c>
      <c r="F71" s="3" t="s">
        <v>28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8</v>
      </c>
      <c r="M71" s="3">
        <v>15</v>
      </c>
      <c r="P71" s="9" t="s">
        <v>29</v>
      </c>
      <c r="Q71" s="9" t="s">
        <v>29</v>
      </c>
      <c r="R71" s="9" t="s">
        <v>29</v>
      </c>
      <c r="S71" s="9" t="s">
        <v>29</v>
      </c>
      <c r="T71" s="9" t="s">
        <v>29</v>
      </c>
      <c r="U71" s="9" t="s">
        <v>29</v>
      </c>
      <c r="V71" s="16" t="s">
        <v>29</v>
      </c>
      <c r="W71" s="16" t="s">
        <v>29</v>
      </c>
      <c r="X71" s="16" t="s">
        <v>29</v>
      </c>
      <c r="Y71" s="16" t="s">
        <v>29</v>
      </c>
      <c r="AB71" s="9" t="s">
        <v>29</v>
      </c>
      <c r="AC71" s="9" t="s">
        <v>29</v>
      </c>
      <c r="AD71">
        <f>SUM(G71:I71)</f>
        <v>0</v>
      </c>
      <c r="AE71">
        <f>SUM(J71:K71)</f>
        <v>0</v>
      </c>
      <c r="AF71">
        <f>ABS(L71-M71)</f>
        <v>7</v>
      </c>
      <c r="AG71">
        <f>AVERAGE(L71:M71)</f>
        <v>11.5</v>
      </c>
      <c r="AI71">
        <f>MAX(L71:M71)</f>
        <v>15</v>
      </c>
      <c r="AJ71">
        <f>MIN(L71:M71)</f>
        <v>8</v>
      </c>
      <c r="AK71" t="s">
        <v>29</v>
      </c>
      <c r="AM71" s="16" t="s">
        <v>29</v>
      </c>
      <c r="AN71" s="16" t="s">
        <v>29</v>
      </c>
      <c r="AO71" s="16" t="s">
        <v>29</v>
      </c>
      <c r="AP71" s="16" t="s">
        <v>29</v>
      </c>
      <c r="AQ71" t="str">
        <f t="shared" si="2"/>
        <v>NA</v>
      </c>
      <c r="AR71" t="str">
        <f t="shared" si="3"/>
        <v>NA</v>
      </c>
    </row>
    <row r="72" spans="1:44" ht="14.4" x14ac:dyDescent="0.3">
      <c r="A72" s="2">
        <v>28</v>
      </c>
      <c r="B72" s="2" t="s">
        <v>56</v>
      </c>
      <c r="C72" s="3">
        <v>7</v>
      </c>
      <c r="D72" s="3">
        <v>1</v>
      </c>
      <c r="E72" s="3" t="s">
        <v>27</v>
      </c>
      <c r="F72" s="3" t="s">
        <v>28</v>
      </c>
      <c r="G72" s="3">
        <v>7</v>
      </c>
      <c r="H72" s="3">
        <v>0</v>
      </c>
      <c r="I72" s="3">
        <v>0</v>
      </c>
      <c r="J72" s="3">
        <v>6</v>
      </c>
      <c r="K72" s="3">
        <v>0</v>
      </c>
      <c r="L72" s="3">
        <v>19</v>
      </c>
      <c r="M72" s="3">
        <v>13</v>
      </c>
      <c r="P72" s="9" t="s">
        <v>29</v>
      </c>
      <c r="Q72" s="9" t="s">
        <v>29</v>
      </c>
      <c r="R72" s="9" t="s">
        <v>29</v>
      </c>
      <c r="S72" s="9" t="s">
        <v>29</v>
      </c>
      <c r="T72" s="9" t="s">
        <v>29</v>
      </c>
      <c r="U72" s="9" t="s">
        <v>29</v>
      </c>
      <c r="V72" s="16" t="s">
        <v>29</v>
      </c>
      <c r="W72" s="16" t="s">
        <v>29</v>
      </c>
      <c r="X72" s="16" t="s">
        <v>29</v>
      </c>
      <c r="Y72" s="16" t="s">
        <v>29</v>
      </c>
      <c r="AB72" s="9" t="s">
        <v>29</v>
      </c>
      <c r="AC72" s="9" t="s">
        <v>29</v>
      </c>
      <c r="AD72">
        <f>SUM(G72:I72)</f>
        <v>7</v>
      </c>
      <c r="AE72">
        <f>SUM(J72:K72)</f>
        <v>6</v>
      </c>
      <c r="AF72">
        <f>ABS(L72-M72)</f>
        <v>6</v>
      </c>
      <c r="AG72">
        <f>AVERAGE(L72:M72)</f>
        <v>16</v>
      </c>
      <c r="AI72">
        <f>MAX(L72:M72)</f>
        <v>19</v>
      </c>
      <c r="AJ72">
        <f>MIN(L72:M72)</f>
        <v>13</v>
      </c>
      <c r="AK72" t="s">
        <v>29</v>
      </c>
      <c r="AM72" s="16" t="s">
        <v>29</v>
      </c>
      <c r="AN72" s="16" t="s">
        <v>29</v>
      </c>
      <c r="AO72" s="16" t="s">
        <v>29</v>
      </c>
      <c r="AP72" s="16" t="s">
        <v>29</v>
      </c>
      <c r="AQ72" t="str">
        <f t="shared" si="2"/>
        <v>NA</v>
      </c>
      <c r="AR72" t="str">
        <f t="shared" si="3"/>
        <v>NA</v>
      </c>
    </row>
    <row r="73" spans="1:44" ht="14.4" x14ac:dyDescent="0.3">
      <c r="A73" s="2">
        <v>28</v>
      </c>
      <c r="B73" s="2" t="s">
        <v>56</v>
      </c>
      <c r="C73" s="3">
        <v>14</v>
      </c>
      <c r="D73" s="3">
        <v>2</v>
      </c>
      <c r="E73" s="3" t="s">
        <v>27</v>
      </c>
      <c r="F73" t="s">
        <v>29</v>
      </c>
      <c r="G73" t="s">
        <v>29</v>
      </c>
      <c r="H73" t="s">
        <v>29</v>
      </c>
      <c r="I73" t="s">
        <v>29</v>
      </c>
      <c r="J73" t="s">
        <v>29</v>
      </c>
      <c r="K73" t="s">
        <v>29</v>
      </c>
      <c r="L73" t="s">
        <v>29</v>
      </c>
      <c r="M73" t="s">
        <v>29</v>
      </c>
      <c r="P73" s="9" t="s">
        <v>29</v>
      </c>
      <c r="Q73" s="9" t="s">
        <v>29</v>
      </c>
      <c r="R73" s="9" t="s">
        <v>29</v>
      </c>
      <c r="S73" s="9" t="s">
        <v>29</v>
      </c>
      <c r="T73" s="9" t="s">
        <v>29</v>
      </c>
      <c r="U73" s="9" t="s">
        <v>29</v>
      </c>
      <c r="V73" s="16" t="s">
        <v>29</v>
      </c>
      <c r="W73" s="16" t="s">
        <v>29</v>
      </c>
      <c r="X73" s="16" t="s">
        <v>29</v>
      </c>
      <c r="Y73" s="16" t="s">
        <v>29</v>
      </c>
      <c r="AB73" s="9" t="s">
        <v>29</v>
      </c>
      <c r="AC73" s="9" t="s">
        <v>29</v>
      </c>
      <c r="AD73" s="3" t="s">
        <v>29</v>
      </c>
      <c r="AE73" s="3" t="s">
        <v>29</v>
      </c>
      <c r="AF73" s="3" t="s">
        <v>29</v>
      </c>
      <c r="AG73" s="3" t="s">
        <v>29</v>
      </c>
      <c r="AH73" s="3" t="s">
        <v>29</v>
      </c>
      <c r="AI73" s="3" t="s">
        <v>29</v>
      </c>
      <c r="AJ73" s="3" t="s">
        <v>29</v>
      </c>
      <c r="AK73" s="3" t="s">
        <v>29</v>
      </c>
      <c r="AM73" s="16" t="s">
        <v>29</v>
      </c>
      <c r="AN73" s="16" t="s">
        <v>29</v>
      </c>
      <c r="AO73" s="16" t="s">
        <v>29</v>
      </c>
      <c r="AP73" s="16" t="s">
        <v>29</v>
      </c>
      <c r="AQ73" t="str">
        <f t="shared" si="2"/>
        <v>NA</v>
      </c>
      <c r="AR73" t="str">
        <f t="shared" si="3"/>
        <v>NA</v>
      </c>
    </row>
    <row r="74" spans="1:44" ht="14.4" x14ac:dyDescent="0.3">
      <c r="A74" s="2">
        <v>28</v>
      </c>
      <c r="B74" s="2" t="s">
        <v>56</v>
      </c>
      <c r="C74" s="3">
        <v>21</v>
      </c>
      <c r="D74" s="3">
        <v>3</v>
      </c>
      <c r="E74" s="3" t="s">
        <v>27</v>
      </c>
      <c r="F74" s="3" t="s">
        <v>31</v>
      </c>
      <c r="P74" s="10">
        <v>4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3">
        <v>0</v>
      </c>
      <c r="W74" s="3">
        <v>4</v>
      </c>
      <c r="X74" s="3">
        <v>0</v>
      </c>
      <c r="Y74" s="3">
        <v>0</v>
      </c>
      <c r="AB74" s="10">
        <v>20</v>
      </c>
      <c r="AC74" s="10">
        <v>11</v>
      </c>
      <c r="AD74">
        <f>SUM(P74:U74)</f>
        <v>4</v>
      </c>
      <c r="AE74">
        <f>SUM(V74:Y74)</f>
        <v>4</v>
      </c>
      <c r="AF74">
        <f>ABS(AB74-AC74)</f>
        <v>9</v>
      </c>
      <c r="AG74">
        <f>AVERAGE(AB74:AC74)</f>
        <v>15.5</v>
      </c>
      <c r="AI74">
        <f>MAX(AB74:AC74)</f>
        <v>20</v>
      </c>
      <c r="AJ74">
        <f>MIN(AB74:AC74)</f>
        <v>11</v>
      </c>
      <c r="AK74" t="s">
        <v>29</v>
      </c>
      <c r="AM74" s="17">
        <f>SUM(P74,R74,T74)</f>
        <v>4</v>
      </c>
      <c r="AN74" s="17">
        <f>SUM(Q74,S74,U74)</f>
        <v>0</v>
      </c>
      <c r="AO74" s="17">
        <f>SUM(V74,X74)</f>
        <v>0</v>
      </c>
      <c r="AP74" s="17">
        <f>SUM(W74,Y74)</f>
        <v>4</v>
      </c>
      <c r="AQ74">
        <f t="shared" si="2"/>
        <v>20</v>
      </c>
      <c r="AR74">
        <f t="shared" si="3"/>
        <v>11</v>
      </c>
    </row>
    <row r="75" spans="1:44" ht="14.4" x14ac:dyDescent="0.3">
      <c r="A75" s="2">
        <v>28</v>
      </c>
      <c r="B75" s="2" t="s">
        <v>56</v>
      </c>
      <c r="C75" s="3">
        <v>28</v>
      </c>
      <c r="D75" s="3">
        <v>4</v>
      </c>
      <c r="E75" s="3" t="s">
        <v>27</v>
      </c>
      <c r="F75" s="3" t="s">
        <v>31</v>
      </c>
      <c r="P75" s="9">
        <v>3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>
        <v>0</v>
      </c>
      <c r="W75">
        <v>2</v>
      </c>
      <c r="X75">
        <v>0</v>
      </c>
      <c r="Y75">
        <v>0</v>
      </c>
      <c r="AB75" s="9">
        <v>22</v>
      </c>
      <c r="AC75" s="9">
        <v>13</v>
      </c>
      <c r="AD75">
        <f>SUM(P75:U75)</f>
        <v>3</v>
      </c>
      <c r="AE75">
        <f>SUM(V75:Y75)</f>
        <v>2</v>
      </c>
      <c r="AF75">
        <f>ABS(AB75-AC75)</f>
        <v>9</v>
      </c>
      <c r="AG75">
        <f>AVERAGE(AB75:AC75)</f>
        <v>17.5</v>
      </c>
      <c r="AI75">
        <f>MAX(AB75:AC75)</f>
        <v>22</v>
      </c>
      <c r="AJ75">
        <f>MIN(AB75:AC75)</f>
        <v>13</v>
      </c>
      <c r="AK75" t="s">
        <v>29</v>
      </c>
      <c r="AM75" s="17">
        <f>SUM(P75,R75,T75)</f>
        <v>3</v>
      </c>
      <c r="AN75" s="17">
        <f>SUM(Q75,S75,U75)</f>
        <v>0</v>
      </c>
      <c r="AO75" s="17">
        <f>SUM(V75,X75)</f>
        <v>0</v>
      </c>
      <c r="AP75" s="17">
        <f>SUM(W75,Y75)</f>
        <v>2</v>
      </c>
      <c r="AQ75">
        <f t="shared" si="2"/>
        <v>22</v>
      </c>
      <c r="AR75">
        <f t="shared" si="3"/>
        <v>13</v>
      </c>
    </row>
    <row r="76" spans="1:44" ht="14.4" x14ac:dyDescent="0.3">
      <c r="A76" s="2">
        <v>28</v>
      </c>
      <c r="B76" s="2" t="s">
        <v>56</v>
      </c>
      <c r="C76" s="3">
        <v>35</v>
      </c>
      <c r="D76" s="3">
        <v>5</v>
      </c>
      <c r="E76" s="3" t="s">
        <v>27</v>
      </c>
      <c r="F76" s="3" t="s">
        <v>31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3">
        <v>0</v>
      </c>
      <c r="W76" s="3">
        <v>0</v>
      </c>
      <c r="X76" s="3">
        <v>0</v>
      </c>
      <c r="Y76" s="3">
        <v>0</v>
      </c>
      <c r="AB76" s="10">
        <v>19</v>
      </c>
      <c r="AC76" s="10">
        <v>12</v>
      </c>
      <c r="AD76">
        <f>SUM(P76:U76)</f>
        <v>0</v>
      </c>
      <c r="AE76">
        <f>SUM(V76:Y76)</f>
        <v>0</v>
      </c>
      <c r="AF76">
        <f>ABS(AB76-AC76)</f>
        <v>7</v>
      </c>
      <c r="AG76">
        <f>AVERAGE(AB76:AC76)</f>
        <v>15.5</v>
      </c>
      <c r="AI76">
        <f>MAX(AB76:AC76)</f>
        <v>19</v>
      </c>
      <c r="AJ76">
        <f>MIN(AB76:AC76)</f>
        <v>12</v>
      </c>
      <c r="AK76" t="s">
        <v>29</v>
      </c>
      <c r="AM76" s="17">
        <f>SUM(P76,R76,T76)</f>
        <v>0</v>
      </c>
      <c r="AN76" s="17">
        <f>SUM(Q76,S76,U76)</f>
        <v>0</v>
      </c>
      <c r="AO76" s="17">
        <f>SUM(V76,X76)</f>
        <v>0</v>
      </c>
      <c r="AP76" s="17">
        <f>SUM(W76,Y76)</f>
        <v>0</v>
      </c>
      <c r="AQ76">
        <f t="shared" si="2"/>
        <v>19</v>
      </c>
      <c r="AR76">
        <f t="shared" si="3"/>
        <v>12</v>
      </c>
    </row>
    <row r="77" spans="1:44" ht="14.4" x14ac:dyDescent="0.3">
      <c r="A77" s="3">
        <v>26</v>
      </c>
      <c r="B77" s="3" t="s">
        <v>49</v>
      </c>
      <c r="C77" s="3">
        <v>7</v>
      </c>
      <c r="D77" s="3">
        <v>1</v>
      </c>
      <c r="E77" s="3" t="s">
        <v>27</v>
      </c>
      <c r="F77" s="2" t="s">
        <v>28</v>
      </c>
      <c r="G77" s="3">
        <v>9</v>
      </c>
      <c r="H77" s="3">
        <v>1</v>
      </c>
      <c r="I77" s="3">
        <v>0</v>
      </c>
      <c r="J77" s="3">
        <v>8</v>
      </c>
      <c r="K77" s="3">
        <v>0</v>
      </c>
      <c r="L77" s="3">
        <v>17</v>
      </c>
      <c r="M77" s="3">
        <v>24</v>
      </c>
      <c r="P77" s="9" t="s">
        <v>29</v>
      </c>
      <c r="Q77" s="9" t="s">
        <v>29</v>
      </c>
      <c r="R77" s="9" t="s">
        <v>29</v>
      </c>
      <c r="S77" s="9" t="s">
        <v>29</v>
      </c>
      <c r="T77" s="9" t="s">
        <v>29</v>
      </c>
      <c r="U77" s="9" t="s">
        <v>29</v>
      </c>
      <c r="V77" s="16" t="s">
        <v>29</v>
      </c>
      <c r="W77" s="16" t="s">
        <v>29</v>
      </c>
      <c r="X77" s="16" t="s">
        <v>29</v>
      </c>
      <c r="Y77" s="16" t="s">
        <v>29</v>
      </c>
      <c r="AB77" s="9" t="s">
        <v>29</v>
      </c>
      <c r="AC77" s="9" t="s">
        <v>29</v>
      </c>
      <c r="AD77">
        <f>SUM(G77:I77)</f>
        <v>10</v>
      </c>
      <c r="AE77">
        <f>SUM(J77:K77)</f>
        <v>8</v>
      </c>
      <c r="AF77">
        <f>ABS(L77-M77)</f>
        <v>7</v>
      </c>
      <c r="AG77">
        <f>AVERAGE(L77:M77)</f>
        <v>20.5</v>
      </c>
      <c r="AI77">
        <f>MAX(L77:M77)</f>
        <v>24</v>
      </c>
      <c r="AJ77">
        <f>MIN(L77:M77)</f>
        <v>17</v>
      </c>
      <c r="AK77" t="s">
        <v>29</v>
      </c>
      <c r="AM77" s="16" t="s">
        <v>29</v>
      </c>
      <c r="AN77" s="16" t="s">
        <v>29</v>
      </c>
      <c r="AO77" s="16" t="s">
        <v>29</v>
      </c>
      <c r="AP77" s="16" t="s">
        <v>29</v>
      </c>
      <c r="AQ77" t="str">
        <f t="shared" si="2"/>
        <v>NA</v>
      </c>
      <c r="AR77" t="str">
        <f t="shared" si="3"/>
        <v>NA</v>
      </c>
    </row>
    <row r="78" spans="1:44" ht="13.2" x14ac:dyDescent="0.25">
      <c r="A78" s="3">
        <v>26</v>
      </c>
      <c r="B78" s="3" t="s">
        <v>49</v>
      </c>
      <c r="C78" s="3">
        <v>14</v>
      </c>
      <c r="D78" s="3">
        <v>2</v>
      </c>
      <c r="E78" s="3" t="s">
        <v>27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P78" s="9" t="s">
        <v>29</v>
      </c>
      <c r="Q78" s="9" t="s">
        <v>29</v>
      </c>
      <c r="R78" s="9" t="s">
        <v>29</v>
      </c>
      <c r="S78" s="9" t="s">
        <v>29</v>
      </c>
      <c r="T78" s="9" t="s">
        <v>29</v>
      </c>
      <c r="U78" s="9" t="s">
        <v>29</v>
      </c>
      <c r="V78" s="16" t="s">
        <v>29</v>
      </c>
      <c r="W78" s="16" t="s">
        <v>29</v>
      </c>
      <c r="X78" s="16" t="s">
        <v>29</v>
      </c>
      <c r="Y78" s="16" t="s">
        <v>29</v>
      </c>
      <c r="AB78" s="9" t="s">
        <v>29</v>
      </c>
      <c r="AC78" s="9" t="s">
        <v>29</v>
      </c>
      <c r="AD78" s="3" t="s">
        <v>29</v>
      </c>
      <c r="AE78" s="3" t="s">
        <v>29</v>
      </c>
      <c r="AF78" s="3" t="s">
        <v>29</v>
      </c>
      <c r="AG78" s="3" t="s">
        <v>29</v>
      </c>
      <c r="AH78" s="3" t="s">
        <v>29</v>
      </c>
      <c r="AI78" s="3" t="s">
        <v>29</v>
      </c>
      <c r="AJ78" s="3" t="s">
        <v>29</v>
      </c>
      <c r="AK78" s="3" t="s">
        <v>29</v>
      </c>
      <c r="AM78" s="16" t="s">
        <v>29</v>
      </c>
      <c r="AN78" s="16" t="s">
        <v>29</v>
      </c>
      <c r="AO78" s="16" t="s">
        <v>29</v>
      </c>
      <c r="AP78" s="16" t="s">
        <v>29</v>
      </c>
      <c r="AQ78" t="str">
        <f t="shared" si="2"/>
        <v>NA</v>
      </c>
      <c r="AR78" t="str">
        <f t="shared" si="3"/>
        <v>NA</v>
      </c>
    </row>
    <row r="79" spans="1:44" ht="14.4" x14ac:dyDescent="0.3">
      <c r="A79" s="3">
        <v>26</v>
      </c>
      <c r="B79" s="3" t="s">
        <v>49</v>
      </c>
      <c r="C79" s="3">
        <v>21</v>
      </c>
      <c r="D79" s="3">
        <v>3</v>
      </c>
      <c r="E79" s="3" t="s">
        <v>27</v>
      </c>
      <c r="F79" s="2" t="s">
        <v>31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3">
        <v>0</v>
      </c>
      <c r="W79" s="3">
        <v>0</v>
      </c>
      <c r="X79" s="3">
        <v>0</v>
      </c>
      <c r="Y79" s="3">
        <v>0</v>
      </c>
      <c r="AB79" s="10">
        <v>14</v>
      </c>
      <c r="AC79" s="10">
        <v>6</v>
      </c>
      <c r="AD79">
        <f>SUM(P79:U79)</f>
        <v>0</v>
      </c>
      <c r="AE79">
        <f>SUM(V79:Y79)</f>
        <v>0</v>
      </c>
      <c r="AF79">
        <f>ABS(AB79-AC79)</f>
        <v>8</v>
      </c>
      <c r="AG79">
        <f>AVERAGE(AB79:AC79)</f>
        <v>10</v>
      </c>
      <c r="AI79">
        <f>MAX(AB79:AC79)</f>
        <v>14</v>
      </c>
      <c r="AJ79">
        <f>MIN(AB79:AC79)</f>
        <v>6</v>
      </c>
      <c r="AK79" t="s">
        <v>29</v>
      </c>
      <c r="AM79" s="17">
        <f>SUM(P79,R79,T79)</f>
        <v>0</v>
      </c>
      <c r="AN79" s="17">
        <f>SUM(Q79,S79,U79)</f>
        <v>0</v>
      </c>
      <c r="AO79" s="17">
        <f>SUM(V79,X79)</f>
        <v>0</v>
      </c>
      <c r="AP79" s="17">
        <f>SUM(W79,Y79)</f>
        <v>0</v>
      </c>
      <c r="AQ79">
        <f t="shared" si="2"/>
        <v>14</v>
      </c>
      <c r="AR79">
        <f t="shared" si="3"/>
        <v>6</v>
      </c>
    </row>
    <row r="80" spans="1:44" ht="14.4" x14ac:dyDescent="0.3">
      <c r="A80" s="3">
        <v>26</v>
      </c>
      <c r="B80" s="3" t="s">
        <v>49</v>
      </c>
      <c r="C80" s="3">
        <v>28</v>
      </c>
      <c r="D80" s="3">
        <v>4</v>
      </c>
      <c r="E80" s="3" t="s">
        <v>27</v>
      </c>
      <c r="F80" s="2" t="s">
        <v>31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3">
        <v>0</v>
      </c>
      <c r="W80" s="3">
        <v>0</v>
      </c>
      <c r="X80" s="3">
        <v>0</v>
      </c>
      <c r="Y80" s="3">
        <v>0</v>
      </c>
      <c r="AB80" s="9">
        <v>24</v>
      </c>
      <c r="AC80" s="9">
        <v>10</v>
      </c>
      <c r="AD80">
        <f>SUM(P80:U80)</f>
        <v>0</v>
      </c>
      <c r="AE80">
        <f>SUM(V80:Y80)</f>
        <v>0</v>
      </c>
      <c r="AF80">
        <f>ABS(AB80-AC80)</f>
        <v>14</v>
      </c>
      <c r="AG80">
        <f>AVERAGE(AB80:AC80)</f>
        <v>17</v>
      </c>
      <c r="AI80">
        <f>MAX(AB80:AC80)</f>
        <v>24</v>
      </c>
      <c r="AJ80">
        <f>MIN(AB80:AC80)</f>
        <v>10</v>
      </c>
      <c r="AK80" t="s">
        <v>29</v>
      </c>
      <c r="AM80" s="17">
        <f>SUM(P80,R80,T80)</f>
        <v>0</v>
      </c>
      <c r="AN80" s="17">
        <f>SUM(Q80,S80,U80)</f>
        <v>0</v>
      </c>
      <c r="AO80" s="17">
        <f>SUM(V80,X80)</f>
        <v>0</v>
      </c>
      <c r="AP80" s="17">
        <f>SUM(W80,Y80)</f>
        <v>0</v>
      </c>
      <c r="AQ80">
        <f t="shared" si="2"/>
        <v>24</v>
      </c>
      <c r="AR80">
        <f t="shared" si="3"/>
        <v>10</v>
      </c>
    </row>
    <row r="81" spans="1:44" ht="14.4" x14ac:dyDescent="0.3">
      <c r="A81" s="3">
        <v>26</v>
      </c>
      <c r="B81" s="3" t="s">
        <v>49</v>
      </c>
      <c r="C81" s="3">
        <v>35</v>
      </c>
      <c r="D81" s="3">
        <v>5</v>
      </c>
      <c r="E81" s="3" t="s">
        <v>27</v>
      </c>
      <c r="F81" s="2" t="s">
        <v>31</v>
      </c>
      <c r="P81" s="10">
        <v>1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3">
        <v>0</v>
      </c>
      <c r="W81" s="3">
        <v>1</v>
      </c>
      <c r="X81" s="3">
        <v>0</v>
      </c>
      <c r="Y81" s="3">
        <v>0</v>
      </c>
      <c r="AB81" s="10">
        <v>22</v>
      </c>
      <c r="AC81" s="10">
        <v>13</v>
      </c>
      <c r="AD81">
        <f>SUM(P81:U81)</f>
        <v>1</v>
      </c>
      <c r="AE81">
        <f>SUM(V81:Y81)</f>
        <v>1</v>
      </c>
      <c r="AF81">
        <f>ABS(AB81-AC81)</f>
        <v>9</v>
      </c>
      <c r="AG81">
        <f>AVERAGE(AB81:AC81)</f>
        <v>17.5</v>
      </c>
      <c r="AI81">
        <f>MAX(AB81:AC81)</f>
        <v>22</v>
      </c>
      <c r="AJ81">
        <f>MIN(AB81:AC81)</f>
        <v>13</v>
      </c>
      <c r="AK81" t="s">
        <v>29</v>
      </c>
      <c r="AM81" s="17">
        <f>SUM(P81,R81,T81)</f>
        <v>1</v>
      </c>
      <c r="AN81" s="17">
        <f>SUM(Q81,S81,U81)</f>
        <v>0</v>
      </c>
      <c r="AO81" s="17">
        <f>SUM(V81,X81)</f>
        <v>0</v>
      </c>
      <c r="AP81" s="17">
        <f>SUM(W81,Y81)</f>
        <v>1</v>
      </c>
      <c r="AQ81">
        <f t="shared" si="2"/>
        <v>22</v>
      </c>
      <c r="AR81">
        <f t="shared" si="3"/>
        <v>13</v>
      </c>
    </row>
    <row r="82" spans="1:44" ht="14.4" x14ac:dyDescent="0.3">
      <c r="A82" s="3">
        <v>4</v>
      </c>
      <c r="B82" s="3" t="s">
        <v>42</v>
      </c>
      <c r="C82" s="3">
        <v>7</v>
      </c>
      <c r="D82" s="3">
        <v>1</v>
      </c>
      <c r="E82" s="3" t="s">
        <v>27</v>
      </c>
      <c r="F82" s="2" t="s">
        <v>28</v>
      </c>
      <c r="G82" s="3">
        <v>1</v>
      </c>
      <c r="H82" s="3">
        <v>0</v>
      </c>
      <c r="I82" s="3">
        <v>0</v>
      </c>
      <c r="J82" s="3">
        <v>2</v>
      </c>
      <c r="K82" s="3">
        <v>0</v>
      </c>
      <c r="L82" s="3">
        <v>28</v>
      </c>
      <c r="M82" s="3">
        <v>22</v>
      </c>
      <c r="P82" s="9" t="s">
        <v>29</v>
      </c>
      <c r="Q82" s="9" t="s">
        <v>29</v>
      </c>
      <c r="R82" s="9" t="s">
        <v>29</v>
      </c>
      <c r="S82" s="9" t="s">
        <v>29</v>
      </c>
      <c r="T82" s="9" t="s">
        <v>29</v>
      </c>
      <c r="U82" s="9" t="s">
        <v>29</v>
      </c>
      <c r="V82" s="16" t="s">
        <v>29</v>
      </c>
      <c r="W82" s="16" t="s">
        <v>29</v>
      </c>
      <c r="X82" s="16" t="s">
        <v>29</v>
      </c>
      <c r="Y82" s="16" t="s">
        <v>29</v>
      </c>
      <c r="AB82" s="9" t="s">
        <v>29</v>
      </c>
      <c r="AC82" s="9" t="s">
        <v>29</v>
      </c>
      <c r="AD82">
        <f>SUM(G82:I82)</f>
        <v>1</v>
      </c>
      <c r="AE82">
        <f>SUM(J82:K82)</f>
        <v>2</v>
      </c>
      <c r="AF82">
        <f>ABS(L82-M82)</f>
        <v>6</v>
      </c>
      <c r="AG82">
        <f>AVERAGE(L82:M82)</f>
        <v>25</v>
      </c>
      <c r="AI82">
        <f>MAX(L82:M82)</f>
        <v>28</v>
      </c>
      <c r="AJ82">
        <f>MIN(L82:M82)</f>
        <v>22</v>
      </c>
      <c r="AK82" t="s">
        <v>29</v>
      </c>
      <c r="AM82" s="16" t="s">
        <v>29</v>
      </c>
      <c r="AN82" s="16" t="s">
        <v>29</v>
      </c>
      <c r="AO82" s="16" t="s">
        <v>29</v>
      </c>
      <c r="AP82" s="16" t="s">
        <v>29</v>
      </c>
      <c r="AQ82" t="str">
        <f t="shared" si="2"/>
        <v>NA</v>
      </c>
      <c r="AR82" t="str">
        <f t="shared" si="3"/>
        <v>NA</v>
      </c>
    </row>
    <row r="83" spans="1:44" ht="14.4" x14ac:dyDescent="0.3">
      <c r="A83" s="3">
        <v>4</v>
      </c>
      <c r="B83" s="3" t="s">
        <v>42</v>
      </c>
      <c r="C83" s="3">
        <v>14</v>
      </c>
      <c r="D83" s="3">
        <v>2</v>
      </c>
      <c r="E83" s="3" t="s">
        <v>27</v>
      </c>
      <c r="F83" s="2" t="s">
        <v>28</v>
      </c>
      <c r="G83" s="3">
        <v>7</v>
      </c>
      <c r="H83" s="3">
        <v>0</v>
      </c>
      <c r="I83" s="3">
        <v>0</v>
      </c>
      <c r="J83" s="3">
        <v>7</v>
      </c>
      <c r="K83" s="3">
        <v>0</v>
      </c>
      <c r="L83" s="3">
        <v>10</v>
      </c>
      <c r="M83" s="3">
        <v>16</v>
      </c>
      <c r="P83" s="9" t="s">
        <v>29</v>
      </c>
      <c r="Q83" s="9" t="s">
        <v>29</v>
      </c>
      <c r="R83" s="9" t="s">
        <v>29</v>
      </c>
      <c r="S83" s="9" t="s">
        <v>29</v>
      </c>
      <c r="T83" s="9" t="s">
        <v>29</v>
      </c>
      <c r="U83" s="9" t="s">
        <v>29</v>
      </c>
      <c r="V83" s="16" t="s">
        <v>29</v>
      </c>
      <c r="W83" s="16" t="s">
        <v>29</v>
      </c>
      <c r="X83" s="16" t="s">
        <v>29</v>
      </c>
      <c r="Y83" s="16" t="s">
        <v>29</v>
      </c>
      <c r="AB83" s="9" t="s">
        <v>29</v>
      </c>
      <c r="AC83" s="9" t="s">
        <v>29</v>
      </c>
      <c r="AD83">
        <f>SUM(G83:I83)</f>
        <v>7</v>
      </c>
      <c r="AE83">
        <f>SUM(J83:K83)</f>
        <v>7</v>
      </c>
      <c r="AF83">
        <f>ABS(L83-M83)</f>
        <v>6</v>
      </c>
      <c r="AG83">
        <f>AVERAGE(L83:M83)</f>
        <v>13</v>
      </c>
      <c r="AI83">
        <f>MAX(L83:M83)</f>
        <v>16</v>
      </c>
      <c r="AJ83">
        <f>MIN(L83:M83)</f>
        <v>10</v>
      </c>
      <c r="AK83" t="s">
        <v>29</v>
      </c>
      <c r="AM83" s="16" t="s">
        <v>29</v>
      </c>
      <c r="AN83" s="16" t="s">
        <v>29</v>
      </c>
      <c r="AO83" s="16" t="s">
        <v>29</v>
      </c>
      <c r="AP83" s="16" t="s">
        <v>29</v>
      </c>
      <c r="AQ83" t="str">
        <f t="shared" si="2"/>
        <v>NA</v>
      </c>
      <c r="AR83" t="str">
        <f t="shared" si="3"/>
        <v>NA</v>
      </c>
    </row>
    <row r="84" spans="1:44" ht="14.4" x14ac:dyDescent="0.3">
      <c r="A84" s="3">
        <v>4</v>
      </c>
      <c r="B84" s="3" t="s">
        <v>42</v>
      </c>
      <c r="C84" s="3">
        <v>21</v>
      </c>
      <c r="D84" s="3">
        <v>3</v>
      </c>
      <c r="E84" s="3" t="s">
        <v>27</v>
      </c>
      <c r="F84" s="2" t="s">
        <v>28</v>
      </c>
      <c r="G84" s="3">
        <v>6</v>
      </c>
      <c r="H84" s="3">
        <v>0</v>
      </c>
      <c r="I84" s="3">
        <v>0</v>
      </c>
      <c r="J84" s="3">
        <v>0</v>
      </c>
      <c r="K84" s="3">
        <v>0</v>
      </c>
      <c r="L84" s="3">
        <v>25</v>
      </c>
      <c r="M84" s="3">
        <v>31</v>
      </c>
      <c r="P84" s="9" t="s">
        <v>29</v>
      </c>
      <c r="Q84" s="9" t="s">
        <v>29</v>
      </c>
      <c r="R84" s="9" t="s">
        <v>29</v>
      </c>
      <c r="S84" s="9" t="s">
        <v>29</v>
      </c>
      <c r="T84" s="9" t="s">
        <v>29</v>
      </c>
      <c r="U84" s="9" t="s">
        <v>29</v>
      </c>
      <c r="V84" s="16" t="s">
        <v>29</v>
      </c>
      <c r="W84" s="16" t="s">
        <v>29</v>
      </c>
      <c r="X84" s="16" t="s">
        <v>29</v>
      </c>
      <c r="Y84" s="16" t="s">
        <v>29</v>
      </c>
      <c r="AB84" s="9" t="s">
        <v>29</v>
      </c>
      <c r="AC84" s="9" t="s">
        <v>29</v>
      </c>
      <c r="AD84">
        <f>SUM(G84:I84)</f>
        <v>6</v>
      </c>
      <c r="AE84">
        <f>SUM(J84:K84)</f>
        <v>0</v>
      </c>
      <c r="AF84">
        <f>ABS(L84-M84)</f>
        <v>6</v>
      </c>
      <c r="AG84">
        <f>AVERAGE(L84:M84)</f>
        <v>28</v>
      </c>
      <c r="AI84">
        <f>MAX(L84:M84)</f>
        <v>31</v>
      </c>
      <c r="AJ84">
        <f>MIN(L84:M84)</f>
        <v>25</v>
      </c>
      <c r="AK84" t="s">
        <v>29</v>
      </c>
      <c r="AM84" s="16" t="s">
        <v>29</v>
      </c>
      <c r="AN84" s="16" t="s">
        <v>29</v>
      </c>
      <c r="AO84" s="16" t="s">
        <v>29</v>
      </c>
      <c r="AP84" s="16" t="s">
        <v>29</v>
      </c>
      <c r="AQ84" t="str">
        <f t="shared" si="2"/>
        <v>NA</v>
      </c>
      <c r="AR84" t="str">
        <f t="shared" si="3"/>
        <v>NA</v>
      </c>
    </row>
    <row r="85" spans="1:44" ht="14.4" x14ac:dyDescent="0.3">
      <c r="A85" s="3">
        <v>4</v>
      </c>
      <c r="B85" s="3" t="s">
        <v>42</v>
      </c>
      <c r="C85" s="3">
        <v>28</v>
      </c>
      <c r="D85" s="3">
        <v>4</v>
      </c>
      <c r="E85" s="3" t="s">
        <v>27</v>
      </c>
      <c r="F85" s="2" t="s">
        <v>31</v>
      </c>
      <c r="P85" s="10">
        <v>1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3">
        <v>0</v>
      </c>
      <c r="W85" s="3">
        <v>1</v>
      </c>
      <c r="X85" s="3">
        <v>0</v>
      </c>
      <c r="Y85" s="3">
        <v>0</v>
      </c>
      <c r="AB85" s="10">
        <v>13</v>
      </c>
      <c r="AC85" s="10">
        <v>8</v>
      </c>
      <c r="AD85">
        <f>SUM(P85:U85)</f>
        <v>1</v>
      </c>
      <c r="AE85">
        <f>SUM(V85:Y85)</f>
        <v>1</v>
      </c>
      <c r="AF85">
        <f>ABS(AB85-AC85)</f>
        <v>5</v>
      </c>
      <c r="AG85">
        <f>AVERAGE(AB85:AC85)</f>
        <v>10.5</v>
      </c>
      <c r="AI85">
        <f>MAX(AB85:AC85)</f>
        <v>13</v>
      </c>
      <c r="AJ85">
        <f>MIN(AB85:AC85)</f>
        <v>8</v>
      </c>
      <c r="AK85" t="s">
        <v>29</v>
      </c>
      <c r="AM85" s="17">
        <f>SUM(P85,R85,T85)</f>
        <v>1</v>
      </c>
      <c r="AN85" s="17">
        <f>SUM(Q85,S85,U85)</f>
        <v>0</v>
      </c>
      <c r="AO85" s="17">
        <f>SUM(V85,X85)</f>
        <v>0</v>
      </c>
      <c r="AP85" s="17">
        <f>SUM(W85,Y85)</f>
        <v>1</v>
      </c>
      <c r="AQ85">
        <f t="shared" si="2"/>
        <v>13</v>
      </c>
      <c r="AR85">
        <f t="shared" si="3"/>
        <v>8</v>
      </c>
    </row>
    <row r="86" spans="1:44" ht="14.4" x14ac:dyDescent="0.3">
      <c r="A86" s="3">
        <v>4</v>
      </c>
      <c r="B86" s="3" t="s">
        <v>42</v>
      </c>
      <c r="C86" s="3">
        <v>35</v>
      </c>
      <c r="D86" s="3">
        <v>5</v>
      </c>
      <c r="E86" s="3" t="s">
        <v>27</v>
      </c>
      <c r="F86" s="2" t="s">
        <v>31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3">
        <v>0</v>
      </c>
      <c r="W86" s="3">
        <v>0</v>
      </c>
      <c r="X86" s="3">
        <v>0</v>
      </c>
      <c r="Y86" s="3">
        <v>0</v>
      </c>
      <c r="AB86" s="10">
        <v>6</v>
      </c>
      <c r="AC86" s="10">
        <v>0</v>
      </c>
      <c r="AD86">
        <f>SUM(P86:U86)</f>
        <v>0</v>
      </c>
      <c r="AE86">
        <f>SUM(V86:Y86)</f>
        <v>0</v>
      </c>
      <c r="AF86">
        <f>ABS(AB86-AC86)</f>
        <v>6</v>
      </c>
      <c r="AG86">
        <f>AVERAGE(AB86:AC86)</f>
        <v>3</v>
      </c>
      <c r="AI86">
        <f>MAX(AB86:AC86)</f>
        <v>6</v>
      </c>
      <c r="AJ86">
        <f>MIN(AB86:AC86)</f>
        <v>0</v>
      </c>
      <c r="AK86" t="s">
        <v>29</v>
      </c>
      <c r="AM86" s="17">
        <f>SUM(P86,R86,T86)</f>
        <v>0</v>
      </c>
      <c r="AN86" s="17">
        <f>SUM(Q86,S86,U86)</f>
        <v>0</v>
      </c>
      <c r="AO86" s="17">
        <f>SUM(V86,X86)</f>
        <v>0</v>
      </c>
      <c r="AP86" s="17">
        <f>SUM(W86,Y86)</f>
        <v>0</v>
      </c>
      <c r="AQ86">
        <f t="shared" si="2"/>
        <v>6</v>
      </c>
      <c r="AR86">
        <f t="shared" si="3"/>
        <v>0</v>
      </c>
    </row>
    <row r="87" spans="1:44" ht="14.4" x14ac:dyDescent="0.3">
      <c r="A87" s="2">
        <v>27</v>
      </c>
      <c r="B87" s="2" t="s">
        <v>57</v>
      </c>
      <c r="C87" s="3">
        <v>7</v>
      </c>
      <c r="D87" s="3">
        <v>1</v>
      </c>
      <c r="E87" s="3" t="s">
        <v>27</v>
      </c>
      <c r="F87" s="3" t="s">
        <v>28</v>
      </c>
      <c r="G87" s="3">
        <v>7</v>
      </c>
      <c r="H87" s="3">
        <v>0</v>
      </c>
      <c r="I87" s="3">
        <v>0</v>
      </c>
      <c r="J87" s="3">
        <v>7</v>
      </c>
      <c r="K87" s="3">
        <v>0</v>
      </c>
      <c r="L87" s="3">
        <v>21</v>
      </c>
      <c r="M87" s="3">
        <v>28</v>
      </c>
      <c r="P87" s="9" t="s">
        <v>29</v>
      </c>
      <c r="Q87" s="9" t="s">
        <v>29</v>
      </c>
      <c r="R87" s="9" t="s">
        <v>29</v>
      </c>
      <c r="S87" s="9" t="s">
        <v>29</v>
      </c>
      <c r="T87" s="9" t="s">
        <v>29</v>
      </c>
      <c r="U87" s="9" t="s">
        <v>29</v>
      </c>
      <c r="V87" s="16" t="s">
        <v>29</v>
      </c>
      <c r="W87" s="16" t="s">
        <v>29</v>
      </c>
      <c r="X87" s="16" t="s">
        <v>29</v>
      </c>
      <c r="Y87" s="16" t="s">
        <v>29</v>
      </c>
      <c r="AB87" s="9" t="s">
        <v>29</v>
      </c>
      <c r="AC87" s="9" t="s">
        <v>29</v>
      </c>
      <c r="AD87">
        <f>SUM(G87:I87)</f>
        <v>7</v>
      </c>
      <c r="AE87">
        <f>SUM(J87:K87)</f>
        <v>7</v>
      </c>
      <c r="AF87">
        <f>ABS(L87-M87)</f>
        <v>7</v>
      </c>
      <c r="AG87">
        <f>AVERAGE(L87:M87)</f>
        <v>24.5</v>
      </c>
      <c r="AI87">
        <f>MAX(L87:M87)</f>
        <v>28</v>
      </c>
      <c r="AJ87">
        <f>MIN(L87:M87)</f>
        <v>21</v>
      </c>
      <c r="AK87" t="s">
        <v>29</v>
      </c>
      <c r="AM87" s="16" t="s">
        <v>29</v>
      </c>
      <c r="AN87" s="16" t="s">
        <v>29</v>
      </c>
      <c r="AO87" s="16" t="s">
        <v>29</v>
      </c>
      <c r="AP87" s="16" t="s">
        <v>29</v>
      </c>
      <c r="AQ87" t="str">
        <f t="shared" si="2"/>
        <v>NA</v>
      </c>
      <c r="AR87" t="str">
        <f t="shared" si="3"/>
        <v>NA</v>
      </c>
    </row>
    <row r="88" spans="1:44" ht="14.4" x14ac:dyDescent="0.3">
      <c r="A88" s="2">
        <v>27</v>
      </c>
      <c r="B88" s="2" t="s">
        <v>57</v>
      </c>
      <c r="C88" s="3">
        <v>14</v>
      </c>
      <c r="D88" s="3">
        <v>2</v>
      </c>
      <c r="E88" s="3" t="s">
        <v>27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P88" s="9" t="s">
        <v>29</v>
      </c>
      <c r="Q88" s="9" t="s">
        <v>29</v>
      </c>
      <c r="R88" s="9" t="s">
        <v>29</v>
      </c>
      <c r="S88" s="9" t="s">
        <v>29</v>
      </c>
      <c r="T88" s="9" t="s">
        <v>29</v>
      </c>
      <c r="U88" s="9" t="s">
        <v>29</v>
      </c>
      <c r="V88" s="16" t="s">
        <v>29</v>
      </c>
      <c r="W88" s="16" t="s">
        <v>29</v>
      </c>
      <c r="X88" s="16" t="s">
        <v>29</v>
      </c>
      <c r="Y88" s="16" t="s">
        <v>29</v>
      </c>
      <c r="AB88" s="9" t="s">
        <v>29</v>
      </c>
      <c r="AC88" s="9" t="s">
        <v>29</v>
      </c>
      <c r="AD88" s="3" t="s">
        <v>29</v>
      </c>
      <c r="AE88" s="3" t="s">
        <v>29</v>
      </c>
      <c r="AF88" s="3" t="s">
        <v>29</v>
      </c>
      <c r="AG88" s="3" t="s">
        <v>29</v>
      </c>
      <c r="AH88" s="3" t="s">
        <v>29</v>
      </c>
      <c r="AI88" s="3" t="s">
        <v>29</v>
      </c>
      <c r="AJ88" s="3" t="s">
        <v>29</v>
      </c>
      <c r="AK88" s="3" t="s">
        <v>29</v>
      </c>
      <c r="AM88" s="16" t="s">
        <v>29</v>
      </c>
      <c r="AN88" s="16" t="s">
        <v>29</v>
      </c>
      <c r="AO88" s="16" t="s">
        <v>29</v>
      </c>
      <c r="AP88" s="16" t="s">
        <v>29</v>
      </c>
      <c r="AQ88" t="str">
        <f t="shared" si="2"/>
        <v>NA</v>
      </c>
      <c r="AR88" t="str">
        <f t="shared" si="3"/>
        <v>NA</v>
      </c>
    </row>
    <row r="89" spans="1:44" ht="14.4" x14ac:dyDescent="0.3">
      <c r="A89" s="2">
        <v>27</v>
      </c>
      <c r="B89" s="2" t="s">
        <v>57</v>
      </c>
      <c r="C89" s="3">
        <v>21</v>
      </c>
      <c r="D89" s="3">
        <v>3</v>
      </c>
      <c r="E89" s="3" t="s">
        <v>27</v>
      </c>
      <c r="F89" s="3" t="s">
        <v>28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33</v>
      </c>
      <c r="M89" s="3">
        <v>21</v>
      </c>
      <c r="P89" s="9" t="s">
        <v>29</v>
      </c>
      <c r="Q89" s="9" t="s">
        <v>29</v>
      </c>
      <c r="R89" s="9" t="s">
        <v>29</v>
      </c>
      <c r="S89" s="9" t="s">
        <v>29</v>
      </c>
      <c r="T89" s="9" t="s">
        <v>29</v>
      </c>
      <c r="U89" s="9" t="s">
        <v>29</v>
      </c>
      <c r="V89" s="16" t="s">
        <v>29</v>
      </c>
      <c r="W89" s="16" t="s">
        <v>29</v>
      </c>
      <c r="X89" s="16" t="s">
        <v>29</v>
      </c>
      <c r="Y89" s="16" t="s">
        <v>29</v>
      </c>
      <c r="AB89" s="9" t="s">
        <v>29</v>
      </c>
      <c r="AC89" s="9" t="s">
        <v>29</v>
      </c>
      <c r="AD89">
        <f>SUM(G89:I89)</f>
        <v>0</v>
      </c>
      <c r="AE89">
        <f>SUM(J89:K89)</f>
        <v>0</v>
      </c>
      <c r="AF89">
        <f>ABS(L89-M89)</f>
        <v>12</v>
      </c>
      <c r="AG89">
        <f>AVERAGE(L89:M89)</f>
        <v>27</v>
      </c>
      <c r="AI89">
        <f>MAX(L89:M89)</f>
        <v>33</v>
      </c>
      <c r="AJ89">
        <f>MIN(L89:M89)</f>
        <v>21</v>
      </c>
      <c r="AK89" t="s">
        <v>29</v>
      </c>
      <c r="AM89" s="16" t="s">
        <v>29</v>
      </c>
      <c r="AN89" s="16" t="s">
        <v>29</v>
      </c>
      <c r="AO89" s="16" t="s">
        <v>29</v>
      </c>
      <c r="AP89" s="16" t="s">
        <v>29</v>
      </c>
      <c r="AQ89" t="str">
        <f t="shared" si="2"/>
        <v>NA</v>
      </c>
      <c r="AR89" t="str">
        <f t="shared" si="3"/>
        <v>NA</v>
      </c>
    </row>
    <row r="90" spans="1:44" ht="14.4" x14ac:dyDescent="0.3">
      <c r="A90" s="2">
        <v>27</v>
      </c>
      <c r="B90" s="2" t="s">
        <v>57</v>
      </c>
      <c r="C90" s="3">
        <v>28</v>
      </c>
      <c r="D90" s="3">
        <v>4</v>
      </c>
      <c r="E90" s="3" t="s">
        <v>27</v>
      </c>
      <c r="F90" s="3" t="s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26</v>
      </c>
      <c r="M90">
        <v>17</v>
      </c>
      <c r="P90" s="9" t="s">
        <v>29</v>
      </c>
      <c r="Q90" s="9" t="s">
        <v>29</v>
      </c>
      <c r="R90" s="9" t="s">
        <v>29</v>
      </c>
      <c r="S90" s="9" t="s">
        <v>29</v>
      </c>
      <c r="T90" s="9" t="s">
        <v>29</v>
      </c>
      <c r="U90" s="9" t="s">
        <v>29</v>
      </c>
      <c r="V90" s="16" t="s">
        <v>29</v>
      </c>
      <c r="W90" s="16" t="s">
        <v>29</v>
      </c>
      <c r="X90" s="16" t="s">
        <v>29</v>
      </c>
      <c r="Y90" s="16" t="s">
        <v>29</v>
      </c>
      <c r="AB90" s="9" t="s">
        <v>29</v>
      </c>
      <c r="AC90" s="9" t="s">
        <v>29</v>
      </c>
      <c r="AD90">
        <f>SUM(G90:I90)</f>
        <v>0</v>
      </c>
      <c r="AE90">
        <f>SUM(J90:K90)</f>
        <v>0</v>
      </c>
      <c r="AF90">
        <f>ABS(L90-M90)</f>
        <v>9</v>
      </c>
      <c r="AG90">
        <f>AVERAGE(L90:M90)</f>
        <v>21.5</v>
      </c>
      <c r="AI90">
        <f>MAX(L90:M90)</f>
        <v>26</v>
      </c>
      <c r="AJ90">
        <f>MIN(L90:M90)</f>
        <v>17</v>
      </c>
      <c r="AM90" s="16" t="s">
        <v>29</v>
      </c>
      <c r="AN90" s="16" t="s">
        <v>29</v>
      </c>
      <c r="AO90" s="16" t="s">
        <v>29</v>
      </c>
      <c r="AP90" s="16" t="s">
        <v>29</v>
      </c>
      <c r="AQ90" t="str">
        <f t="shared" si="2"/>
        <v>NA</v>
      </c>
      <c r="AR90" t="str">
        <f t="shared" si="3"/>
        <v>NA</v>
      </c>
    </row>
    <row r="91" spans="1:44" ht="14.4" x14ac:dyDescent="0.3">
      <c r="A91" s="2">
        <v>27</v>
      </c>
      <c r="B91" s="2" t="s">
        <v>57</v>
      </c>
      <c r="C91" s="3">
        <v>35</v>
      </c>
      <c r="D91" s="3">
        <v>5</v>
      </c>
      <c r="E91" s="3" t="s">
        <v>27</v>
      </c>
      <c r="F91" s="3" t="s">
        <v>31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3">
        <v>0</v>
      </c>
      <c r="W91" s="3">
        <v>0</v>
      </c>
      <c r="X91" s="3">
        <v>0</v>
      </c>
      <c r="Y91" s="3">
        <v>0</v>
      </c>
      <c r="AB91" s="10">
        <v>14</v>
      </c>
      <c r="AC91" s="10">
        <v>8</v>
      </c>
      <c r="AD91">
        <f>SUM(P91:U91)</f>
        <v>0</v>
      </c>
      <c r="AE91">
        <f>SUM(V91:Y91)</f>
        <v>0</v>
      </c>
      <c r="AF91">
        <f>ABS(AB91-AC91)</f>
        <v>6</v>
      </c>
      <c r="AG91">
        <f>AVERAGE(AB91:AC91)</f>
        <v>11</v>
      </c>
      <c r="AI91">
        <f>MAX(AB91:AC91)</f>
        <v>14</v>
      </c>
      <c r="AJ91">
        <f>MIN(AB91:AC91)</f>
        <v>8</v>
      </c>
      <c r="AK91" t="s">
        <v>29</v>
      </c>
      <c r="AM91" s="17">
        <f>SUM(P91,R91,T91)</f>
        <v>0</v>
      </c>
      <c r="AN91" s="17">
        <f>SUM(Q91,S91,U91)</f>
        <v>0</v>
      </c>
      <c r="AO91" s="17">
        <f>SUM(V91,X91)</f>
        <v>0</v>
      </c>
      <c r="AP91" s="17">
        <f>SUM(W91,Y91)</f>
        <v>0</v>
      </c>
      <c r="AQ91">
        <f t="shared" si="2"/>
        <v>14</v>
      </c>
      <c r="AR91">
        <f t="shared" si="3"/>
        <v>8</v>
      </c>
    </row>
    <row r="92" spans="1:44" ht="14.4" x14ac:dyDescent="0.3">
      <c r="A92" s="2">
        <v>7</v>
      </c>
      <c r="B92" s="2" t="s">
        <v>51</v>
      </c>
      <c r="C92" s="3">
        <v>7</v>
      </c>
      <c r="D92" s="3">
        <v>1</v>
      </c>
      <c r="E92" s="3" t="s">
        <v>27</v>
      </c>
      <c r="F92" s="3" t="s">
        <v>28</v>
      </c>
      <c r="G92" s="3">
        <v>4</v>
      </c>
      <c r="H92" s="3">
        <v>0</v>
      </c>
      <c r="I92" s="3">
        <v>0</v>
      </c>
      <c r="J92" s="3">
        <v>5</v>
      </c>
      <c r="K92" s="3">
        <v>0</v>
      </c>
      <c r="L92" s="3">
        <v>41</v>
      </c>
      <c r="M92" s="3">
        <v>42</v>
      </c>
      <c r="P92" s="9" t="s">
        <v>29</v>
      </c>
      <c r="Q92" s="9" t="s">
        <v>29</v>
      </c>
      <c r="R92" s="9" t="s">
        <v>29</v>
      </c>
      <c r="S92" s="9" t="s">
        <v>29</v>
      </c>
      <c r="T92" s="9" t="s">
        <v>29</v>
      </c>
      <c r="U92" s="9" t="s">
        <v>29</v>
      </c>
      <c r="V92" s="16" t="s">
        <v>29</v>
      </c>
      <c r="W92" s="16" t="s">
        <v>29</v>
      </c>
      <c r="X92" s="16" t="s">
        <v>29</v>
      </c>
      <c r="Y92" s="16" t="s">
        <v>29</v>
      </c>
      <c r="AB92" s="9" t="s">
        <v>29</v>
      </c>
      <c r="AC92" s="9" t="s">
        <v>29</v>
      </c>
      <c r="AD92">
        <f>SUM(G92:I92)</f>
        <v>4</v>
      </c>
      <c r="AE92">
        <f>SUM(J92:K92)</f>
        <v>5</v>
      </c>
      <c r="AF92">
        <f>ABS(L92-M92)</f>
        <v>1</v>
      </c>
      <c r="AG92">
        <f>AVERAGE(L92:M92)</f>
        <v>41.5</v>
      </c>
      <c r="AI92">
        <f>MAX(L92:M92)</f>
        <v>42</v>
      </c>
      <c r="AJ92">
        <f>MIN(L92:M92)</f>
        <v>41</v>
      </c>
      <c r="AK92" t="s">
        <v>29</v>
      </c>
      <c r="AM92" s="16" t="s">
        <v>29</v>
      </c>
      <c r="AN92" s="16" t="s">
        <v>29</v>
      </c>
      <c r="AO92" s="16" t="s">
        <v>29</v>
      </c>
      <c r="AP92" s="16" t="s">
        <v>29</v>
      </c>
      <c r="AQ92" t="str">
        <f t="shared" si="2"/>
        <v>NA</v>
      </c>
      <c r="AR92" t="str">
        <f t="shared" si="3"/>
        <v>NA</v>
      </c>
    </row>
    <row r="93" spans="1:44" ht="14.4" x14ac:dyDescent="0.3">
      <c r="A93" s="2">
        <v>7</v>
      </c>
      <c r="B93" s="2" t="s">
        <v>51</v>
      </c>
      <c r="C93" s="3">
        <v>14</v>
      </c>
      <c r="D93" s="3">
        <v>2</v>
      </c>
      <c r="E93" s="3" t="s">
        <v>27</v>
      </c>
      <c r="F93" s="3" t="s">
        <v>28</v>
      </c>
      <c r="G93" s="3">
        <v>4</v>
      </c>
      <c r="H93" s="3">
        <v>2</v>
      </c>
      <c r="I93" s="3">
        <v>0</v>
      </c>
      <c r="J93" s="3">
        <v>3</v>
      </c>
      <c r="K93" s="3">
        <v>0</v>
      </c>
      <c r="L93" s="3">
        <v>20</v>
      </c>
      <c r="M93" s="3">
        <v>16</v>
      </c>
      <c r="P93" s="9" t="s">
        <v>29</v>
      </c>
      <c r="Q93" s="9" t="s">
        <v>29</v>
      </c>
      <c r="R93" s="9" t="s">
        <v>29</v>
      </c>
      <c r="S93" s="9" t="s">
        <v>29</v>
      </c>
      <c r="T93" s="9" t="s">
        <v>29</v>
      </c>
      <c r="U93" s="9" t="s">
        <v>29</v>
      </c>
      <c r="V93" s="16" t="s">
        <v>29</v>
      </c>
      <c r="W93" s="16" t="s">
        <v>29</v>
      </c>
      <c r="X93" s="16" t="s">
        <v>29</v>
      </c>
      <c r="Y93" s="16" t="s">
        <v>29</v>
      </c>
      <c r="AB93" s="9" t="s">
        <v>29</v>
      </c>
      <c r="AC93" s="9" t="s">
        <v>29</v>
      </c>
      <c r="AD93">
        <f>SUM(G93:I93)</f>
        <v>6</v>
      </c>
      <c r="AE93">
        <f>SUM(J93:K93)</f>
        <v>3</v>
      </c>
      <c r="AF93">
        <f>ABS(L93-M93)</f>
        <v>4</v>
      </c>
      <c r="AG93">
        <f>AVERAGE(L93:M93)</f>
        <v>18</v>
      </c>
      <c r="AI93">
        <f>MAX(L93:M93)</f>
        <v>20</v>
      </c>
      <c r="AJ93">
        <f>MIN(L93:M93)</f>
        <v>16</v>
      </c>
      <c r="AK93" t="s">
        <v>29</v>
      </c>
      <c r="AM93" s="16" t="s">
        <v>29</v>
      </c>
      <c r="AN93" s="16" t="s">
        <v>29</v>
      </c>
      <c r="AO93" s="16" t="s">
        <v>29</v>
      </c>
      <c r="AP93" s="16" t="s">
        <v>29</v>
      </c>
      <c r="AQ93" t="str">
        <f t="shared" si="2"/>
        <v>NA</v>
      </c>
      <c r="AR93" t="str">
        <f t="shared" si="3"/>
        <v>NA</v>
      </c>
    </row>
    <row r="94" spans="1:44" ht="14.4" x14ac:dyDescent="0.3">
      <c r="A94" s="2">
        <v>7</v>
      </c>
      <c r="B94" s="2" t="s">
        <v>51</v>
      </c>
      <c r="C94" s="3">
        <v>21</v>
      </c>
      <c r="D94" s="3">
        <v>3</v>
      </c>
      <c r="E94" s="3" t="s">
        <v>27</v>
      </c>
      <c r="F94" s="3" t="s">
        <v>28</v>
      </c>
      <c r="G94" s="3">
        <v>11</v>
      </c>
      <c r="H94" s="3">
        <v>1</v>
      </c>
      <c r="I94" s="3">
        <v>1</v>
      </c>
      <c r="J94" s="3">
        <v>2</v>
      </c>
      <c r="K94" s="3">
        <v>0</v>
      </c>
      <c r="L94" s="3">
        <v>28</v>
      </c>
      <c r="M94" s="3">
        <v>27</v>
      </c>
      <c r="P94" s="9" t="s">
        <v>29</v>
      </c>
      <c r="Q94" s="9" t="s">
        <v>29</v>
      </c>
      <c r="R94" s="9" t="s">
        <v>29</v>
      </c>
      <c r="S94" s="9" t="s">
        <v>29</v>
      </c>
      <c r="T94" s="9" t="s">
        <v>29</v>
      </c>
      <c r="U94" s="9" t="s">
        <v>29</v>
      </c>
      <c r="V94" s="16" t="s">
        <v>29</v>
      </c>
      <c r="W94" s="16" t="s">
        <v>29</v>
      </c>
      <c r="X94" s="16" t="s">
        <v>29</v>
      </c>
      <c r="Y94" s="16" t="s">
        <v>29</v>
      </c>
      <c r="AB94" s="9" t="s">
        <v>29</v>
      </c>
      <c r="AC94" s="9" t="s">
        <v>29</v>
      </c>
      <c r="AD94">
        <f>SUM(G94:I94)</f>
        <v>13</v>
      </c>
      <c r="AE94">
        <f>SUM(J94:K94)</f>
        <v>2</v>
      </c>
      <c r="AF94">
        <f>ABS(L94-M94)</f>
        <v>1</v>
      </c>
      <c r="AG94">
        <f>AVERAGE(L94:M94)</f>
        <v>27.5</v>
      </c>
      <c r="AI94">
        <f>MAX(L94:M94)</f>
        <v>28</v>
      </c>
      <c r="AJ94">
        <f>MIN(L94:M94)</f>
        <v>27</v>
      </c>
      <c r="AK94" t="s">
        <v>29</v>
      </c>
      <c r="AM94" s="16" t="s">
        <v>29</v>
      </c>
      <c r="AN94" s="16" t="s">
        <v>29</v>
      </c>
      <c r="AO94" s="16" t="s">
        <v>29</v>
      </c>
      <c r="AP94" s="16" t="s">
        <v>29</v>
      </c>
      <c r="AQ94" t="str">
        <f t="shared" si="2"/>
        <v>NA</v>
      </c>
      <c r="AR94" t="str">
        <f t="shared" si="3"/>
        <v>NA</v>
      </c>
    </row>
    <row r="95" spans="1:44" ht="14.4" x14ac:dyDescent="0.3">
      <c r="A95" s="2">
        <v>7</v>
      </c>
      <c r="B95" s="2" t="s">
        <v>51</v>
      </c>
      <c r="C95" s="3">
        <v>28</v>
      </c>
      <c r="D95" s="3">
        <v>4</v>
      </c>
      <c r="E95" s="3" t="s">
        <v>27</v>
      </c>
      <c r="F95" s="3" t="s">
        <v>31</v>
      </c>
      <c r="P95" s="10">
        <v>1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3">
        <v>0</v>
      </c>
      <c r="W95" s="3">
        <v>1</v>
      </c>
      <c r="X95" s="3">
        <v>0</v>
      </c>
      <c r="Y95" s="3">
        <v>0</v>
      </c>
      <c r="AB95" s="10">
        <v>18</v>
      </c>
      <c r="AC95" s="10">
        <v>12</v>
      </c>
      <c r="AD95">
        <f>SUM(P95:U95)</f>
        <v>1</v>
      </c>
      <c r="AE95">
        <f>SUM(V95:Y95)</f>
        <v>1</v>
      </c>
      <c r="AF95">
        <f>ABS(AB95-AC95)</f>
        <v>6</v>
      </c>
      <c r="AG95">
        <f>AVERAGE(AB95:AC95)</f>
        <v>15</v>
      </c>
      <c r="AI95">
        <f>MAX(AB95:AC95)</f>
        <v>18</v>
      </c>
      <c r="AJ95">
        <f>MIN(AB95:AC95)</f>
        <v>12</v>
      </c>
      <c r="AK95" t="s">
        <v>29</v>
      </c>
      <c r="AM95" s="17">
        <f>SUM(P95,R95,T95)</f>
        <v>1</v>
      </c>
      <c r="AN95" s="17">
        <f>SUM(Q95,S95,U95)</f>
        <v>0</v>
      </c>
      <c r="AO95" s="17">
        <f>SUM(V95,X95)</f>
        <v>0</v>
      </c>
      <c r="AP95" s="17">
        <f>SUM(W95,Y95)</f>
        <v>1</v>
      </c>
      <c r="AQ95">
        <f t="shared" si="2"/>
        <v>18</v>
      </c>
      <c r="AR95">
        <f t="shared" si="3"/>
        <v>12</v>
      </c>
    </row>
    <row r="96" spans="1:44" ht="14.4" x14ac:dyDescent="0.3">
      <c r="A96" s="2">
        <v>7</v>
      </c>
      <c r="B96" s="2" t="s">
        <v>51</v>
      </c>
      <c r="C96" s="3">
        <v>35</v>
      </c>
      <c r="D96" s="3">
        <v>5</v>
      </c>
      <c r="E96" s="3" t="s">
        <v>27</v>
      </c>
      <c r="F96" s="3" t="s">
        <v>31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3">
        <v>0</v>
      </c>
      <c r="W96" s="3">
        <v>0</v>
      </c>
      <c r="X96" s="3">
        <v>0</v>
      </c>
      <c r="Y96" s="3">
        <v>0</v>
      </c>
      <c r="AB96" s="10">
        <v>31</v>
      </c>
      <c r="AC96" s="10">
        <v>17</v>
      </c>
      <c r="AD96">
        <f>SUM(P96:U96)</f>
        <v>0</v>
      </c>
      <c r="AE96">
        <f>SUM(V96:Y96)</f>
        <v>0</v>
      </c>
      <c r="AF96">
        <f>ABS(AB96-AC96)</f>
        <v>14</v>
      </c>
      <c r="AG96">
        <f>AVERAGE(AB96:AC96)</f>
        <v>24</v>
      </c>
      <c r="AI96">
        <f>MAX(AB96:AC96)</f>
        <v>31</v>
      </c>
      <c r="AJ96">
        <f>MIN(AB96:AC96)</f>
        <v>17</v>
      </c>
      <c r="AK96" t="s">
        <v>29</v>
      </c>
      <c r="AM96" s="17">
        <f>SUM(P96,R96,T96)</f>
        <v>0</v>
      </c>
      <c r="AN96" s="17">
        <f>SUM(Q96,S96,U96)</f>
        <v>0</v>
      </c>
      <c r="AO96" s="17">
        <f>SUM(V96,X96)</f>
        <v>0</v>
      </c>
      <c r="AP96" s="17">
        <f>SUM(W96,Y96)</f>
        <v>0</v>
      </c>
      <c r="AQ96">
        <f t="shared" si="2"/>
        <v>31</v>
      </c>
      <c r="AR96">
        <f t="shared" si="3"/>
        <v>17</v>
      </c>
    </row>
    <row r="97" spans="1:44" ht="14.4" x14ac:dyDescent="0.3">
      <c r="A97" s="3">
        <v>15</v>
      </c>
      <c r="B97" s="3" t="s">
        <v>39</v>
      </c>
      <c r="C97" s="3">
        <v>7</v>
      </c>
      <c r="D97" s="3">
        <v>1</v>
      </c>
      <c r="E97" s="3" t="s">
        <v>27</v>
      </c>
      <c r="F97" s="2" t="s">
        <v>28</v>
      </c>
      <c r="G97" s="3">
        <v>2</v>
      </c>
      <c r="H97" s="3">
        <v>0</v>
      </c>
      <c r="I97" s="3">
        <v>0</v>
      </c>
      <c r="J97" s="3">
        <v>0</v>
      </c>
      <c r="K97" s="3">
        <v>0</v>
      </c>
      <c r="L97" s="3">
        <v>34</v>
      </c>
      <c r="M97" s="3">
        <v>16</v>
      </c>
      <c r="P97" s="9" t="s">
        <v>29</v>
      </c>
      <c r="Q97" s="9" t="s">
        <v>29</v>
      </c>
      <c r="R97" s="9" t="s">
        <v>29</v>
      </c>
      <c r="S97" s="9" t="s">
        <v>29</v>
      </c>
      <c r="T97" s="9" t="s">
        <v>29</v>
      </c>
      <c r="U97" s="9" t="s">
        <v>29</v>
      </c>
      <c r="V97" s="16" t="s">
        <v>29</v>
      </c>
      <c r="W97" s="16" t="s">
        <v>29</v>
      </c>
      <c r="X97" s="16" t="s">
        <v>29</v>
      </c>
      <c r="Y97" s="16" t="s">
        <v>29</v>
      </c>
      <c r="AB97" s="9" t="s">
        <v>29</v>
      </c>
      <c r="AC97" s="9" t="s">
        <v>29</v>
      </c>
      <c r="AD97">
        <f>SUM(G97:I97)</f>
        <v>2</v>
      </c>
      <c r="AE97">
        <f>SUM(J97:K97)</f>
        <v>0</v>
      </c>
      <c r="AF97">
        <f>ABS(L97-M97)</f>
        <v>18</v>
      </c>
      <c r="AG97">
        <f>AVERAGE(L97:M97)</f>
        <v>25</v>
      </c>
      <c r="AI97">
        <f>MAX(L97:M97)</f>
        <v>34</v>
      </c>
      <c r="AJ97">
        <f>MIN(L97:M97)</f>
        <v>16</v>
      </c>
      <c r="AK97" t="s">
        <v>29</v>
      </c>
      <c r="AM97" s="16" t="s">
        <v>29</v>
      </c>
      <c r="AN97" s="16" t="s">
        <v>29</v>
      </c>
      <c r="AO97" s="16" t="s">
        <v>29</v>
      </c>
      <c r="AP97" s="16" t="s">
        <v>29</v>
      </c>
      <c r="AQ97" t="str">
        <f t="shared" si="2"/>
        <v>NA</v>
      </c>
      <c r="AR97" t="str">
        <f t="shared" si="3"/>
        <v>NA</v>
      </c>
    </row>
    <row r="98" spans="1:44" ht="13.2" x14ac:dyDescent="0.25">
      <c r="A98" s="3">
        <v>15</v>
      </c>
      <c r="B98" s="3" t="s">
        <v>39</v>
      </c>
      <c r="C98" s="3">
        <v>14</v>
      </c>
      <c r="D98" s="3">
        <v>2</v>
      </c>
      <c r="E98" s="3" t="s">
        <v>27</v>
      </c>
      <c r="F98" s="3" t="s">
        <v>28</v>
      </c>
      <c r="G98" s="3">
        <v>2</v>
      </c>
      <c r="H98" s="3">
        <v>0</v>
      </c>
      <c r="I98" s="3">
        <v>0</v>
      </c>
      <c r="J98" s="3">
        <v>2</v>
      </c>
      <c r="K98" s="3">
        <v>0</v>
      </c>
      <c r="L98" s="3">
        <v>15</v>
      </c>
      <c r="M98" s="3">
        <v>18</v>
      </c>
      <c r="P98" s="9" t="s">
        <v>29</v>
      </c>
      <c r="Q98" s="9" t="s">
        <v>29</v>
      </c>
      <c r="R98" s="9" t="s">
        <v>29</v>
      </c>
      <c r="S98" s="9" t="s">
        <v>29</v>
      </c>
      <c r="T98" s="9" t="s">
        <v>29</v>
      </c>
      <c r="U98" s="9" t="s">
        <v>29</v>
      </c>
      <c r="V98" s="16" t="s">
        <v>29</v>
      </c>
      <c r="W98" s="16" t="s">
        <v>29</v>
      </c>
      <c r="X98" s="16" t="s">
        <v>29</v>
      </c>
      <c r="Y98" s="16" t="s">
        <v>29</v>
      </c>
      <c r="AB98" s="9" t="s">
        <v>29</v>
      </c>
      <c r="AC98" s="9" t="s">
        <v>29</v>
      </c>
      <c r="AD98">
        <f>SUM(G98:I98)</f>
        <v>2</v>
      </c>
      <c r="AE98">
        <f>SUM(J98:K98)</f>
        <v>2</v>
      </c>
      <c r="AF98">
        <f>ABS(L98-M98)</f>
        <v>3</v>
      </c>
      <c r="AG98">
        <f>AVERAGE(L98:M98)</f>
        <v>16.5</v>
      </c>
      <c r="AI98">
        <f>MAX(L98:M98)</f>
        <v>18</v>
      </c>
      <c r="AJ98">
        <f>MIN(L98:M98)</f>
        <v>15</v>
      </c>
      <c r="AK98" t="s">
        <v>29</v>
      </c>
      <c r="AM98" s="16" t="s">
        <v>29</v>
      </c>
      <c r="AN98" s="16" t="s">
        <v>29</v>
      </c>
      <c r="AO98" s="16" t="s">
        <v>29</v>
      </c>
      <c r="AP98" s="16" t="s">
        <v>29</v>
      </c>
      <c r="AQ98" t="str">
        <f t="shared" si="2"/>
        <v>NA</v>
      </c>
      <c r="AR98" t="str">
        <f t="shared" si="3"/>
        <v>NA</v>
      </c>
    </row>
    <row r="99" spans="1:44" ht="13.2" x14ac:dyDescent="0.25">
      <c r="A99" s="3">
        <v>15</v>
      </c>
      <c r="B99" s="3" t="s">
        <v>39</v>
      </c>
      <c r="C99" s="3">
        <v>21</v>
      </c>
      <c r="D99" s="3">
        <v>3</v>
      </c>
      <c r="E99" s="3" t="s">
        <v>27</v>
      </c>
      <c r="F99" s="3" t="s">
        <v>28</v>
      </c>
      <c r="G99" s="3">
        <v>1</v>
      </c>
      <c r="H99" s="3">
        <v>0</v>
      </c>
      <c r="I99" s="3">
        <v>0</v>
      </c>
      <c r="J99" s="3">
        <v>0</v>
      </c>
      <c r="K99" s="3">
        <v>0</v>
      </c>
      <c r="L99" s="3">
        <v>25</v>
      </c>
      <c r="M99" s="3">
        <v>18</v>
      </c>
      <c r="P99" s="9" t="s">
        <v>29</v>
      </c>
      <c r="Q99" s="9" t="s">
        <v>29</v>
      </c>
      <c r="R99" s="9" t="s">
        <v>29</v>
      </c>
      <c r="S99" s="9" t="s">
        <v>29</v>
      </c>
      <c r="T99" s="9" t="s">
        <v>29</v>
      </c>
      <c r="U99" s="9" t="s">
        <v>29</v>
      </c>
      <c r="V99" s="16" t="s">
        <v>29</v>
      </c>
      <c r="W99" s="16" t="s">
        <v>29</v>
      </c>
      <c r="X99" s="16" t="s">
        <v>29</v>
      </c>
      <c r="Y99" s="16" t="s">
        <v>29</v>
      </c>
      <c r="AB99" s="9" t="s">
        <v>29</v>
      </c>
      <c r="AC99" s="9" t="s">
        <v>29</v>
      </c>
      <c r="AD99">
        <f>SUM(G99:I99)</f>
        <v>1</v>
      </c>
      <c r="AE99">
        <f>SUM(J99:K99)</f>
        <v>0</v>
      </c>
      <c r="AF99">
        <f>ABS(L99-M99)</f>
        <v>7</v>
      </c>
      <c r="AG99">
        <f>AVERAGE(L99:M99)</f>
        <v>21.5</v>
      </c>
      <c r="AI99">
        <f>MAX(L99:M99)</f>
        <v>25</v>
      </c>
      <c r="AJ99">
        <f>MIN(L99:M99)</f>
        <v>18</v>
      </c>
      <c r="AK99" t="s">
        <v>29</v>
      </c>
      <c r="AM99" s="16" t="s">
        <v>29</v>
      </c>
      <c r="AN99" s="16" t="s">
        <v>29</v>
      </c>
      <c r="AO99" s="16" t="s">
        <v>29</v>
      </c>
      <c r="AP99" s="16" t="s">
        <v>29</v>
      </c>
      <c r="AQ99" t="str">
        <f t="shared" si="2"/>
        <v>NA</v>
      </c>
      <c r="AR99" t="str">
        <f t="shared" si="3"/>
        <v>NA</v>
      </c>
    </row>
    <row r="100" spans="1:44" ht="14.4" x14ac:dyDescent="0.3">
      <c r="A100" s="3">
        <v>15</v>
      </c>
      <c r="B100" s="3" t="s">
        <v>39</v>
      </c>
      <c r="C100" s="3">
        <v>28</v>
      </c>
      <c r="D100" s="3">
        <v>4</v>
      </c>
      <c r="E100" s="3" t="s">
        <v>27</v>
      </c>
      <c r="F100" s="2" t="s">
        <v>31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3">
        <v>0</v>
      </c>
      <c r="W100" s="3">
        <v>0</v>
      </c>
      <c r="X100" s="3">
        <v>0</v>
      </c>
      <c r="Y100" s="3">
        <v>0</v>
      </c>
      <c r="AB100" s="10">
        <v>24</v>
      </c>
      <c r="AC100" s="10">
        <v>14</v>
      </c>
      <c r="AD100">
        <f>SUM(P100:U100)</f>
        <v>0</v>
      </c>
      <c r="AE100">
        <f>SUM(V100:Y100)</f>
        <v>0</v>
      </c>
      <c r="AF100">
        <f>ABS(AB100-AC100)</f>
        <v>10</v>
      </c>
      <c r="AG100">
        <f>AVERAGE(AB100:AC100)</f>
        <v>19</v>
      </c>
      <c r="AI100">
        <f>MAX(AB100:AC100)</f>
        <v>24</v>
      </c>
      <c r="AJ100">
        <f>MIN(AB100:AC100)</f>
        <v>14</v>
      </c>
      <c r="AK100" t="s">
        <v>29</v>
      </c>
      <c r="AM100" s="17">
        <f>SUM(P100,R100,T100)</f>
        <v>0</v>
      </c>
      <c r="AN100" s="17">
        <f>SUM(Q100,S100,U100)</f>
        <v>0</v>
      </c>
      <c r="AO100" s="17">
        <f>SUM(V100,X100)</f>
        <v>0</v>
      </c>
      <c r="AP100" s="17">
        <f>SUM(W100,Y100)</f>
        <v>0</v>
      </c>
      <c r="AQ100">
        <f t="shared" si="2"/>
        <v>24</v>
      </c>
      <c r="AR100">
        <f t="shared" si="3"/>
        <v>14</v>
      </c>
    </row>
    <row r="101" spans="1:44" ht="14.4" x14ac:dyDescent="0.3">
      <c r="A101" s="3">
        <v>15</v>
      </c>
      <c r="B101" s="3" t="s">
        <v>39</v>
      </c>
      <c r="C101" s="3">
        <v>35</v>
      </c>
      <c r="D101" s="3">
        <v>5</v>
      </c>
      <c r="E101" s="3" t="s">
        <v>27</v>
      </c>
      <c r="F101" s="2" t="s">
        <v>31</v>
      </c>
      <c r="P101" s="10">
        <v>1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3">
        <v>0</v>
      </c>
      <c r="W101" s="3">
        <v>1</v>
      </c>
      <c r="X101" s="3">
        <v>0</v>
      </c>
      <c r="Y101" s="3">
        <v>0</v>
      </c>
      <c r="AB101" s="10">
        <v>21</v>
      </c>
      <c r="AC101" s="10">
        <v>14</v>
      </c>
      <c r="AD101">
        <f>SUM(P101:U101)</f>
        <v>1</v>
      </c>
      <c r="AE101">
        <f>SUM(V101:Y101)</f>
        <v>1</v>
      </c>
      <c r="AF101">
        <f>ABS(AB101-AC101)</f>
        <v>7</v>
      </c>
      <c r="AG101">
        <f>AVERAGE(AB101:AC101)</f>
        <v>17.5</v>
      </c>
      <c r="AI101">
        <f>MAX(AB101:AC101)</f>
        <v>21</v>
      </c>
      <c r="AJ101">
        <f>MIN(AB101:AC101)</f>
        <v>14</v>
      </c>
      <c r="AK101" t="s">
        <v>29</v>
      </c>
      <c r="AM101" s="17">
        <f>SUM(P101,R101,T101)</f>
        <v>1</v>
      </c>
      <c r="AN101" s="17">
        <f>SUM(Q101,S101,U101)</f>
        <v>0</v>
      </c>
      <c r="AO101" s="17">
        <f>SUM(V101,X101)</f>
        <v>0</v>
      </c>
      <c r="AP101" s="17">
        <f>SUM(W101,Y101)</f>
        <v>1</v>
      </c>
      <c r="AQ101">
        <f t="shared" si="2"/>
        <v>21</v>
      </c>
      <c r="AR101">
        <f t="shared" si="3"/>
        <v>14</v>
      </c>
    </row>
    <row r="102" spans="1:44" ht="14.4" x14ac:dyDescent="0.3">
      <c r="A102" s="3">
        <v>2</v>
      </c>
      <c r="B102" s="3" t="s">
        <v>43</v>
      </c>
      <c r="C102" s="3">
        <v>7</v>
      </c>
      <c r="D102" s="3">
        <v>1</v>
      </c>
      <c r="E102" s="3" t="s">
        <v>27</v>
      </c>
      <c r="F102" s="2" t="s">
        <v>28</v>
      </c>
      <c r="G102" s="3">
        <v>6</v>
      </c>
      <c r="H102" s="3">
        <v>0</v>
      </c>
      <c r="I102" s="3">
        <v>0</v>
      </c>
      <c r="J102" s="3">
        <v>6</v>
      </c>
      <c r="K102" s="3">
        <v>0</v>
      </c>
      <c r="L102" s="3">
        <v>25</v>
      </c>
      <c r="M102" s="3">
        <v>17</v>
      </c>
      <c r="P102" s="9" t="s">
        <v>29</v>
      </c>
      <c r="Q102" s="9" t="s">
        <v>29</v>
      </c>
      <c r="R102" s="9" t="s">
        <v>29</v>
      </c>
      <c r="S102" s="9" t="s">
        <v>29</v>
      </c>
      <c r="T102" s="9" t="s">
        <v>29</v>
      </c>
      <c r="U102" s="9" t="s">
        <v>29</v>
      </c>
      <c r="V102" s="16" t="s">
        <v>29</v>
      </c>
      <c r="W102" s="16" t="s">
        <v>29</v>
      </c>
      <c r="X102" s="16" t="s">
        <v>29</v>
      </c>
      <c r="Y102" s="16" t="s">
        <v>29</v>
      </c>
      <c r="AB102" s="9" t="s">
        <v>29</v>
      </c>
      <c r="AC102" s="9" t="s">
        <v>29</v>
      </c>
      <c r="AD102">
        <f>SUM(G102:I102)</f>
        <v>6</v>
      </c>
      <c r="AE102">
        <f>SUM(J102:K102)</f>
        <v>6</v>
      </c>
      <c r="AF102">
        <f>ABS(L102-M102)</f>
        <v>8</v>
      </c>
      <c r="AG102">
        <f>AVERAGE(L102:M102)</f>
        <v>21</v>
      </c>
      <c r="AI102">
        <f>MAX(L102:M102)</f>
        <v>25</v>
      </c>
      <c r="AJ102">
        <f>MIN(L102:M102)</f>
        <v>17</v>
      </c>
      <c r="AK102" t="s">
        <v>29</v>
      </c>
      <c r="AM102" s="16" t="s">
        <v>29</v>
      </c>
      <c r="AN102" s="16" t="s">
        <v>29</v>
      </c>
      <c r="AO102" s="16" t="s">
        <v>29</v>
      </c>
      <c r="AP102" s="16" t="s">
        <v>29</v>
      </c>
      <c r="AQ102" t="str">
        <f t="shared" si="2"/>
        <v>NA</v>
      </c>
      <c r="AR102" t="str">
        <f t="shared" si="3"/>
        <v>NA</v>
      </c>
    </row>
    <row r="103" spans="1:44" ht="14.4" x14ac:dyDescent="0.3">
      <c r="A103" s="3">
        <v>2</v>
      </c>
      <c r="B103" s="3" t="s">
        <v>43</v>
      </c>
      <c r="C103" s="3">
        <v>14</v>
      </c>
      <c r="D103" s="3">
        <v>2</v>
      </c>
      <c r="E103" s="3" t="s">
        <v>27</v>
      </c>
      <c r="F103" s="2" t="s">
        <v>28</v>
      </c>
      <c r="G103" s="3">
        <v>7</v>
      </c>
      <c r="H103" s="3">
        <v>0</v>
      </c>
      <c r="I103" s="3">
        <v>0</v>
      </c>
      <c r="J103" s="3">
        <v>7</v>
      </c>
      <c r="K103" s="3">
        <v>0</v>
      </c>
      <c r="L103" s="3">
        <v>18</v>
      </c>
      <c r="M103" s="3">
        <v>17</v>
      </c>
      <c r="P103" s="9" t="s">
        <v>29</v>
      </c>
      <c r="Q103" s="9" t="s">
        <v>29</v>
      </c>
      <c r="R103" s="9" t="s">
        <v>29</v>
      </c>
      <c r="S103" s="9" t="s">
        <v>29</v>
      </c>
      <c r="T103" s="9" t="s">
        <v>29</v>
      </c>
      <c r="U103" s="9" t="s">
        <v>29</v>
      </c>
      <c r="V103" s="16" t="s">
        <v>29</v>
      </c>
      <c r="W103" s="16" t="s">
        <v>29</v>
      </c>
      <c r="X103" s="16" t="s">
        <v>29</v>
      </c>
      <c r="Y103" s="16" t="s">
        <v>29</v>
      </c>
      <c r="AB103" s="9" t="s">
        <v>29</v>
      </c>
      <c r="AC103" s="9" t="s">
        <v>29</v>
      </c>
      <c r="AD103">
        <f>SUM(G103:I103)</f>
        <v>7</v>
      </c>
      <c r="AE103">
        <f>SUM(J103:K103)</f>
        <v>7</v>
      </c>
      <c r="AF103">
        <f>ABS(L103-M103)</f>
        <v>1</v>
      </c>
      <c r="AG103">
        <f>AVERAGE(L103:M103)</f>
        <v>17.5</v>
      </c>
      <c r="AI103">
        <f>MAX(L103:M103)</f>
        <v>18</v>
      </c>
      <c r="AJ103">
        <f>MIN(L103:M103)</f>
        <v>17</v>
      </c>
      <c r="AK103" t="s">
        <v>29</v>
      </c>
      <c r="AM103" s="16" t="s">
        <v>29</v>
      </c>
      <c r="AN103" s="16" t="s">
        <v>29</v>
      </c>
      <c r="AO103" s="16" t="s">
        <v>29</v>
      </c>
      <c r="AP103" s="16" t="s">
        <v>29</v>
      </c>
      <c r="AQ103" t="str">
        <f t="shared" si="2"/>
        <v>NA</v>
      </c>
      <c r="AR103" t="str">
        <f t="shared" si="3"/>
        <v>NA</v>
      </c>
    </row>
    <row r="104" spans="1:44" ht="14.4" x14ac:dyDescent="0.3">
      <c r="A104" s="3">
        <v>2</v>
      </c>
      <c r="B104" s="3" t="s">
        <v>43</v>
      </c>
      <c r="C104" s="3">
        <v>21</v>
      </c>
      <c r="D104" s="3">
        <v>3</v>
      </c>
      <c r="E104" s="3" t="s">
        <v>27</v>
      </c>
      <c r="F104" s="2" t="s">
        <v>28</v>
      </c>
      <c r="G104" s="3">
        <v>10</v>
      </c>
      <c r="H104" s="3">
        <v>0</v>
      </c>
      <c r="I104" s="3">
        <v>0</v>
      </c>
      <c r="J104" s="3">
        <v>9</v>
      </c>
      <c r="K104" s="3">
        <v>0</v>
      </c>
      <c r="L104" s="3">
        <v>18</v>
      </c>
      <c r="M104" s="3">
        <v>12</v>
      </c>
      <c r="P104" s="9" t="s">
        <v>29</v>
      </c>
      <c r="Q104" s="9" t="s">
        <v>29</v>
      </c>
      <c r="R104" s="9" t="s">
        <v>29</v>
      </c>
      <c r="S104" s="9" t="s">
        <v>29</v>
      </c>
      <c r="T104" s="9" t="s">
        <v>29</v>
      </c>
      <c r="U104" s="9" t="s">
        <v>29</v>
      </c>
      <c r="V104" s="16" t="s">
        <v>29</v>
      </c>
      <c r="W104" s="16" t="s">
        <v>29</v>
      </c>
      <c r="X104" s="16" t="s">
        <v>29</v>
      </c>
      <c r="Y104" s="16" t="s">
        <v>29</v>
      </c>
      <c r="AB104" s="9" t="s">
        <v>29</v>
      </c>
      <c r="AC104" s="9" t="s">
        <v>29</v>
      </c>
      <c r="AD104">
        <f>SUM(G104:I104)</f>
        <v>10</v>
      </c>
      <c r="AE104">
        <f>SUM(J104:K104)</f>
        <v>9</v>
      </c>
      <c r="AF104">
        <f>ABS(L104-M104)</f>
        <v>6</v>
      </c>
      <c r="AG104">
        <f>AVERAGE(L104:M104)</f>
        <v>15</v>
      </c>
      <c r="AI104">
        <f>MAX(L104:M104)</f>
        <v>18</v>
      </c>
      <c r="AJ104">
        <f>MIN(L104:M104)</f>
        <v>12</v>
      </c>
      <c r="AK104" t="s">
        <v>29</v>
      </c>
      <c r="AM104" s="16" t="s">
        <v>29</v>
      </c>
      <c r="AN104" s="16" t="s">
        <v>29</v>
      </c>
      <c r="AO104" s="16" t="s">
        <v>29</v>
      </c>
      <c r="AP104" s="16" t="s">
        <v>29</v>
      </c>
      <c r="AQ104" t="str">
        <f t="shared" si="2"/>
        <v>NA</v>
      </c>
      <c r="AR104" t="str">
        <f t="shared" si="3"/>
        <v>NA</v>
      </c>
    </row>
    <row r="105" spans="1:44" ht="14.4" x14ac:dyDescent="0.3">
      <c r="A105" s="3">
        <v>2</v>
      </c>
      <c r="B105" s="3" t="s">
        <v>43</v>
      </c>
      <c r="C105" s="3">
        <v>28</v>
      </c>
      <c r="D105" s="3">
        <v>4</v>
      </c>
      <c r="E105" s="3" t="s">
        <v>27</v>
      </c>
      <c r="F105" s="2" t="s">
        <v>31</v>
      </c>
      <c r="P105" s="10">
        <v>2</v>
      </c>
      <c r="Q105" s="10">
        <v>0</v>
      </c>
      <c r="R105" s="10">
        <v>0</v>
      </c>
      <c r="S105" s="10">
        <v>0</v>
      </c>
      <c r="T105" s="10">
        <v>1</v>
      </c>
      <c r="U105" s="10">
        <v>0</v>
      </c>
      <c r="V105" s="3">
        <v>0</v>
      </c>
      <c r="W105" s="3">
        <v>2</v>
      </c>
      <c r="X105" s="3">
        <v>0</v>
      </c>
      <c r="Y105" s="3">
        <v>0</v>
      </c>
      <c r="AB105" s="10">
        <v>9</v>
      </c>
      <c r="AC105" s="10">
        <v>5</v>
      </c>
      <c r="AD105">
        <f>SUM(P105:U105)</f>
        <v>3</v>
      </c>
      <c r="AE105">
        <f>SUM(V105:Y105)</f>
        <v>2</v>
      </c>
      <c r="AF105">
        <f>ABS(AB105-AC105)</f>
        <v>4</v>
      </c>
      <c r="AG105">
        <f>AVERAGE(AB105:AC105)</f>
        <v>7</v>
      </c>
      <c r="AI105">
        <f>MAX(AB105:AC105)</f>
        <v>9</v>
      </c>
      <c r="AJ105">
        <f>MIN(AB105:AC105)</f>
        <v>5</v>
      </c>
      <c r="AK105" t="s">
        <v>29</v>
      </c>
      <c r="AM105" s="17">
        <f>SUM(P105,R105,T105)</f>
        <v>3</v>
      </c>
      <c r="AN105" s="17">
        <f>SUM(Q105,S105,U105)</f>
        <v>0</v>
      </c>
      <c r="AO105" s="17">
        <f>SUM(V105,X105)</f>
        <v>0</v>
      </c>
      <c r="AP105" s="17">
        <f>SUM(W105,Y105)</f>
        <v>2</v>
      </c>
      <c r="AQ105">
        <f t="shared" si="2"/>
        <v>9</v>
      </c>
      <c r="AR105">
        <f t="shared" si="3"/>
        <v>5</v>
      </c>
    </row>
    <row r="106" spans="1:44" ht="14.4" x14ac:dyDescent="0.3">
      <c r="A106" s="3">
        <v>2</v>
      </c>
      <c r="B106" s="3" t="s">
        <v>43</v>
      </c>
      <c r="C106" s="3">
        <v>35</v>
      </c>
      <c r="D106" s="3">
        <v>5</v>
      </c>
      <c r="E106" s="3" t="s">
        <v>27</v>
      </c>
      <c r="F106" s="2" t="s">
        <v>31</v>
      </c>
      <c r="P106" s="10">
        <v>4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3">
        <v>0</v>
      </c>
      <c r="W106" s="3">
        <v>4</v>
      </c>
      <c r="X106" s="3">
        <v>0</v>
      </c>
      <c r="Y106" s="3">
        <v>0</v>
      </c>
      <c r="AB106" s="10">
        <v>7</v>
      </c>
      <c r="AC106" s="10">
        <v>0</v>
      </c>
      <c r="AD106">
        <f>SUM(P106:U106)</f>
        <v>4</v>
      </c>
      <c r="AE106">
        <f>SUM(V106:Y106)</f>
        <v>4</v>
      </c>
      <c r="AF106">
        <f>ABS(AB106-AC106)</f>
        <v>7</v>
      </c>
      <c r="AG106">
        <f>AVERAGE(AB106:AC106)</f>
        <v>3.5</v>
      </c>
      <c r="AI106">
        <f>MAX(AB106:AC106)</f>
        <v>7</v>
      </c>
      <c r="AJ106">
        <f>MIN(AB106:AC106)</f>
        <v>0</v>
      </c>
      <c r="AK106" t="s">
        <v>29</v>
      </c>
      <c r="AM106" s="17">
        <f>SUM(P106,R106,T106)</f>
        <v>4</v>
      </c>
      <c r="AN106" s="17">
        <f>SUM(Q106,S106,U106)</f>
        <v>0</v>
      </c>
      <c r="AO106" s="17">
        <f>SUM(V106,X106)</f>
        <v>0</v>
      </c>
      <c r="AP106" s="17">
        <f>SUM(W106,Y106)</f>
        <v>4</v>
      </c>
      <c r="AQ106">
        <f t="shared" si="2"/>
        <v>7</v>
      </c>
      <c r="AR106">
        <f t="shared" si="3"/>
        <v>0</v>
      </c>
    </row>
    <row r="107" spans="1:44" ht="14.4" x14ac:dyDescent="0.3">
      <c r="A107" s="3">
        <v>16</v>
      </c>
      <c r="B107" s="3" t="s">
        <v>40</v>
      </c>
      <c r="C107" s="3">
        <v>7</v>
      </c>
      <c r="D107" s="3">
        <v>1</v>
      </c>
      <c r="E107" s="3" t="s">
        <v>27</v>
      </c>
      <c r="F107" s="2" t="s">
        <v>28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  <c r="L107" s="3">
        <v>12</v>
      </c>
      <c r="M107" s="3">
        <v>31</v>
      </c>
      <c r="P107" s="9" t="s">
        <v>29</v>
      </c>
      <c r="Q107" s="9" t="s">
        <v>29</v>
      </c>
      <c r="R107" s="9" t="s">
        <v>29</v>
      </c>
      <c r="S107" s="9" t="s">
        <v>29</v>
      </c>
      <c r="T107" s="9" t="s">
        <v>29</v>
      </c>
      <c r="U107" s="9" t="s">
        <v>29</v>
      </c>
      <c r="V107" s="16" t="s">
        <v>29</v>
      </c>
      <c r="W107" s="16" t="s">
        <v>29</v>
      </c>
      <c r="X107" s="16" t="s">
        <v>29</v>
      </c>
      <c r="Y107" s="16" t="s">
        <v>29</v>
      </c>
      <c r="AB107" s="9" t="s">
        <v>29</v>
      </c>
      <c r="AC107" s="9" t="s">
        <v>29</v>
      </c>
      <c r="AD107">
        <f>SUM(G107:I107)</f>
        <v>1</v>
      </c>
      <c r="AE107">
        <f>SUM(J107:K107)</f>
        <v>0</v>
      </c>
      <c r="AF107">
        <f>ABS(L107-M107)</f>
        <v>19</v>
      </c>
      <c r="AG107">
        <f>AVERAGE(L107:M107)</f>
        <v>21.5</v>
      </c>
      <c r="AI107">
        <f>MAX(L107:M107)</f>
        <v>31</v>
      </c>
      <c r="AJ107">
        <f>MIN(L107:M107)</f>
        <v>12</v>
      </c>
      <c r="AK107" t="s">
        <v>29</v>
      </c>
      <c r="AM107" s="16" t="s">
        <v>29</v>
      </c>
      <c r="AN107" s="16" t="s">
        <v>29</v>
      </c>
      <c r="AO107" s="16" t="s">
        <v>29</v>
      </c>
      <c r="AP107" s="16" t="s">
        <v>29</v>
      </c>
      <c r="AQ107" t="str">
        <f t="shared" si="2"/>
        <v>NA</v>
      </c>
      <c r="AR107" t="str">
        <f t="shared" si="3"/>
        <v>NA</v>
      </c>
    </row>
    <row r="108" spans="1:44" ht="14.4" x14ac:dyDescent="0.3">
      <c r="A108" s="3">
        <v>16</v>
      </c>
      <c r="B108" s="3" t="s">
        <v>40</v>
      </c>
      <c r="C108" s="3">
        <v>14</v>
      </c>
      <c r="D108" s="3">
        <v>2</v>
      </c>
      <c r="E108" s="3" t="s">
        <v>27</v>
      </c>
      <c r="F108" s="2" t="s">
        <v>28</v>
      </c>
      <c r="G108" s="3">
        <v>6</v>
      </c>
      <c r="H108" s="3">
        <v>0</v>
      </c>
      <c r="I108" s="3">
        <v>0</v>
      </c>
      <c r="J108" s="3">
        <v>6</v>
      </c>
      <c r="K108" s="3">
        <v>0</v>
      </c>
      <c r="L108" s="3">
        <v>21</v>
      </c>
      <c r="M108" s="3">
        <v>32</v>
      </c>
      <c r="P108" s="9" t="s">
        <v>29</v>
      </c>
      <c r="Q108" s="9" t="s">
        <v>29</v>
      </c>
      <c r="R108" s="9" t="s">
        <v>29</v>
      </c>
      <c r="S108" s="9" t="s">
        <v>29</v>
      </c>
      <c r="T108" s="9" t="s">
        <v>29</v>
      </c>
      <c r="U108" s="9" t="s">
        <v>29</v>
      </c>
      <c r="V108" s="16" t="s">
        <v>29</v>
      </c>
      <c r="W108" s="16" t="s">
        <v>29</v>
      </c>
      <c r="X108" s="16" t="s">
        <v>29</v>
      </c>
      <c r="Y108" s="16" t="s">
        <v>29</v>
      </c>
      <c r="AB108" s="9" t="s">
        <v>29</v>
      </c>
      <c r="AC108" s="9" t="s">
        <v>29</v>
      </c>
      <c r="AD108">
        <f>SUM(G108:I108)</f>
        <v>6</v>
      </c>
      <c r="AE108">
        <f>SUM(J108:K108)</f>
        <v>6</v>
      </c>
      <c r="AF108">
        <f>ABS(L108-M108)</f>
        <v>11</v>
      </c>
      <c r="AG108">
        <f>AVERAGE(L108:M108)</f>
        <v>26.5</v>
      </c>
      <c r="AI108">
        <f>MAX(L108:M108)</f>
        <v>32</v>
      </c>
      <c r="AJ108">
        <f>MIN(L108:M108)</f>
        <v>21</v>
      </c>
      <c r="AK108" t="s">
        <v>29</v>
      </c>
      <c r="AM108" s="16" t="s">
        <v>29</v>
      </c>
      <c r="AN108" s="16" t="s">
        <v>29</v>
      </c>
      <c r="AO108" s="16" t="s">
        <v>29</v>
      </c>
      <c r="AP108" s="16" t="s">
        <v>29</v>
      </c>
      <c r="AQ108" t="str">
        <f t="shared" si="2"/>
        <v>NA</v>
      </c>
      <c r="AR108" t="str">
        <f t="shared" si="3"/>
        <v>NA</v>
      </c>
    </row>
    <row r="109" spans="1:44" ht="14.4" x14ac:dyDescent="0.3">
      <c r="A109" s="3">
        <v>16</v>
      </c>
      <c r="B109" s="3" t="s">
        <v>40</v>
      </c>
      <c r="C109" s="3">
        <v>21</v>
      </c>
      <c r="D109" s="3">
        <v>3</v>
      </c>
      <c r="E109" s="3" t="s">
        <v>27</v>
      </c>
      <c r="F109" s="2" t="s">
        <v>28</v>
      </c>
      <c r="G109" s="3">
        <v>5</v>
      </c>
      <c r="H109" s="3">
        <v>0</v>
      </c>
      <c r="I109" s="3">
        <v>0</v>
      </c>
      <c r="J109" s="3">
        <v>4</v>
      </c>
      <c r="K109" s="3">
        <v>0</v>
      </c>
      <c r="L109" s="3">
        <v>22</v>
      </c>
      <c r="M109" s="3">
        <v>30</v>
      </c>
      <c r="P109" s="9" t="s">
        <v>29</v>
      </c>
      <c r="Q109" s="9" t="s">
        <v>29</v>
      </c>
      <c r="R109" s="9" t="s">
        <v>29</v>
      </c>
      <c r="S109" s="9" t="s">
        <v>29</v>
      </c>
      <c r="T109" s="9" t="s">
        <v>29</v>
      </c>
      <c r="U109" s="9" t="s">
        <v>29</v>
      </c>
      <c r="V109" s="16" t="s">
        <v>29</v>
      </c>
      <c r="W109" s="16" t="s">
        <v>29</v>
      </c>
      <c r="X109" s="16" t="s">
        <v>29</v>
      </c>
      <c r="Y109" s="16" t="s">
        <v>29</v>
      </c>
      <c r="AB109" s="9" t="s">
        <v>29</v>
      </c>
      <c r="AC109" s="9" t="s">
        <v>29</v>
      </c>
      <c r="AD109">
        <f>SUM(G109:I109)</f>
        <v>5</v>
      </c>
      <c r="AE109">
        <f>SUM(J109:K109)</f>
        <v>4</v>
      </c>
      <c r="AF109">
        <f>ABS(L109-M109)</f>
        <v>8</v>
      </c>
      <c r="AG109">
        <f>AVERAGE(L109:M109)</f>
        <v>26</v>
      </c>
      <c r="AI109">
        <f>MAX(L109:M109)</f>
        <v>30</v>
      </c>
      <c r="AJ109">
        <f>MIN(L109:M109)</f>
        <v>22</v>
      </c>
      <c r="AK109" t="s">
        <v>29</v>
      </c>
      <c r="AM109" s="16" t="s">
        <v>29</v>
      </c>
      <c r="AN109" s="16" t="s">
        <v>29</v>
      </c>
      <c r="AO109" s="16" t="s">
        <v>29</v>
      </c>
      <c r="AP109" s="16" t="s">
        <v>29</v>
      </c>
      <c r="AQ109" t="str">
        <f t="shared" si="2"/>
        <v>NA</v>
      </c>
      <c r="AR109" t="str">
        <f t="shared" si="3"/>
        <v>NA</v>
      </c>
    </row>
    <row r="110" spans="1:44" ht="14.4" x14ac:dyDescent="0.3">
      <c r="A110" s="3">
        <v>16</v>
      </c>
      <c r="B110" s="3" t="s">
        <v>40</v>
      </c>
      <c r="C110" s="3">
        <v>28</v>
      </c>
      <c r="D110" s="3">
        <v>4</v>
      </c>
      <c r="E110" s="3" t="s">
        <v>27</v>
      </c>
      <c r="F110" s="2" t="s">
        <v>31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3">
        <v>0</v>
      </c>
      <c r="W110" s="3">
        <v>0</v>
      </c>
      <c r="X110" s="3">
        <v>0</v>
      </c>
      <c r="Y110" s="3">
        <v>0</v>
      </c>
      <c r="AB110" s="10">
        <v>22</v>
      </c>
      <c r="AC110" s="10">
        <v>16</v>
      </c>
      <c r="AD110">
        <f>SUM(P110:U110)</f>
        <v>0</v>
      </c>
      <c r="AE110">
        <f>SUM(V110:Y110)</f>
        <v>0</v>
      </c>
      <c r="AF110">
        <f>ABS(AB110-AC110)</f>
        <v>6</v>
      </c>
      <c r="AG110">
        <f>AVERAGE(AB110:AC110)</f>
        <v>19</v>
      </c>
      <c r="AI110">
        <f>MAX(AB110:AC110)</f>
        <v>22</v>
      </c>
      <c r="AJ110">
        <f>MIN(AB110:AC110)</f>
        <v>16</v>
      </c>
      <c r="AK110" t="s">
        <v>29</v>
      </c>
      <c r="AM110" s="17">
        <f>SUM(P110,R110,T110)</f>
        <v>0</v>
      </c>
      <c r="AN110" s="17">
        <f>SUM(Q110,S110,U110)</f>
        <v>0</v>
      </c>
      <c r="AO110" s="17">
        <f>SUM(V110,X110)</f>
        <v>0</v>
      </c>
      <c r="AP110" s="17">
        <f>SUM(W110,Y110)</f>
        <v>0</v>
      </c>
      <c r="AQ110">
        <f t="shared" si="2"/>
        <v>22</v>
      </c>
      <c r="AR110">
        <f t="shared" si="3"/>
        <v>16</v>
      </c>
    </row>
    <row r="111" spans="1:44" ht="14.4" x14ac:dyDescent="0.3">
      <c r="A111" s="3">
        <v>16</v>
      </c>
      <c r="B111" s="3" t="s">
        <v>40</v>
      </c>
      <c r="C111" s="3">
        <v>35</v>
      </c>
      <c r="D111" s="3">
        <v>5</v>
      </c>
      <c r="E111" s="3" t="s">
        <v>27</v>
      </c>
      <c r="F111" s="2" t="s">
        <v>31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3">
        <v>0</v>
      </c>
      <c r="W111" s="3">
        <v>0</v>
      </c>
      <c r="X111" s="3">
        <v>0</v>
      </c>
      <c r="Y111" s="3">
        <v>0</v>
      </c>
      <c r="AB111" s="10">
        <v>27</v>
      </c>
      <c r="AC111" s="10">
        <v>21</v>
      </c>
      <c r="AD111">
        <f>SUM(P111:U111)</f>
        <v>0</v>
      </c>
      <c r="AE111">
        <f>SUM(V111:Y111)</f>
        <v>0</v>
      </c>
      <c r="AF111">
        <f>ABS(AB111-AC111)</f>
        <v>6</v>
      </c>
      <c r="AG111">
        <f>AVERAGE(AB111:AC111)</f>
        <v>24</v>
      </c>
      <c r="AI111">
        <f>MAX(AB111:AC111)</f>
        <v>27</v>
      </c>
      <c r="AJ111">
        <f>MIN(AB111:AC111)</f>
        <v>21</v>
      </c>
      <c r="AK111" t="s">
        <v>29</v>
      </c>
      <c r="AM111" s="17">
        <f>SUM(P111,R111,T111)</f>
        <v>0</v>
      </c>
      <c r="AN111" s="17">
        <f>SUM(Q111,S111,U111)</f>
        <v>0</v>
      </c>
      <c r="AO111" s="17">
        <f>SUM(V111,X111)</f>
        <v>0</v>
      </c>
      <c r="AP111" s="17">
        <f>SUM(W111,Y111)</f>
        <v>0</v>
      </c>
      <c r="AQ111">
        <f t="shared" si="2"/>
        <v>27</v>
      </c>
      <c r="AR111">
        <f t="shared" si="3"/>
        <v>21</v>
      </c>
    </row>
    <row r="112" spans="1:44" ht="14.4" x14ac:dyDescent="0.3">
      <c r="A112" s="3">
        <v>3</v>
      </c>
      <c r="B112" s="3" t="s">
        <v>41</v>
      </c>
      <c r="C112" s="3">
        <v>7</v>
      </c>
      <c r="D112" s="3">
        <v>1</v>
      </c>
      <c r="E112" s="3" t="s">
        <v>27</v>
      </c>
      <c r="F112" s="2" t="s">
        <v>28</v>
      </c>
      <c r="G112" s="3">
        <v>7</v>
      </c>
      <c r="H112" s="3">
        <v>0</v>
      </c>
      <c r="I112" s="3">
        <v>0</v>
      </c>
      <c r="J112" s="3">
        <v>5</v>
      </c>
      <c r="K112" s="3">
        <v>0</v>
      </c>
      <c r="L112" s="3">
        <v>21</v>
      </c>
      <c r="M112" s="3">
        <v>26</v>
      </c>
      <c r="P112" s="9" t="s">
        <v>29</v>
      </c>
      <c r="Q112" s="9" t="s">
        <v>29</v>
      </c>
      <c r="R112" s="9" t="s">
        <v>29</v>
      </c>
      <c r="S112" s="9" t="s">
        <v>29</v>
      </c>
      <c r="T112" s="9" t="s">
        <v>29</v>
      </c>
      <c r="U112" s="9" t="s">
        <v>29</v>
      </c>
      <c r="V112" s="16" t="s">
        <v>29</v>
      </c>
      <c r="W112" s="16" t="s">
        <v>29</v>
      </c>
      <c r="X112" s="16" t="s">
        <v>29</v>
      </c>
      <c r="Y112" s="16" t="s">
        <v>29</v>
      </c>
      <c r="AB112" s="9" t="s">
        <v>29</v>
      </c>
      <c r="AC112" s="9" t="s">
        <v>29</v>
      </c>
      <c r="AD112">
        <f>SUM(G112:I112)</f>
        <v>7</v>
      </c>
      <c r="AE112">
        <f>SUM(J112:K112)</f>
        <v>5</v>
      </c>
      <c r="AF112">
        <f>ABS(L112-M112)</f>
        <v>5</v>
      </c>
      <c r="AG112">
        <f>AVERAGE(L112:M112)</f>
        <v>23.5</v>
      </c>
      <c r="AI112">
        <f>MAX(L112:M112)</f>
        <v>26</v>
      </c>
      <c r="AJ112">
        <f>MIN(L112:M112)</f>
        <v>21</v>
      </c>
      <c r="AK112" t="s">
        <v>29</v>
      </c>
      <c r="AM112" s="16" t="s">
        <v>29</v>
      </c>
      <c r="AN112" s="16" t="s">
        <v>29</v>
      </c>
      <c r="AO112" s="16" t="s">
        <v>29</v>
      </c>
      <c r="AP112" s="16" t="s">
        <v>29</v>
      </c>
      <c r="AQ112" t="str">
        <f t="shared" si="2"/>
        <v>NA</v>
      </c>
      <c r="AR112" t="str">
        <f t="shared" si="3"/>
        <v>NA</v>
      </c>
    </row>
    <row r="113" spans="1:44" ht="14.4" x14ac:dyDescent="0.3">
      <c r="A113" s="3">
        <v>3</v>
      </c>
      <c r="B113" s="3" t="s">
        <v>41</v>
      </c>
      <c r="C113" s="3">
        <v>14</v>
      </c>
      <c r="D113" s="3">
        <v>2</v>
      </c>
      <c r="E113" s="3" t="s">
        <v>27</v>
      </c>
      <c r="F113" s="2" t="s">
        <v>28</v>
      </c>
      <c r="G113" s="3">
        <v>7</v>
      </c>
      <c r="H113" s="3">
        <v>0</v>
      </c>
      <c r="I113" s="3">
        <v>0</v>
      </c>
      <c r="J113" s="3">
        <v>6</v>
      </c>
      <c r="K113" s="3">
        <v>0</v>
      </c>
      <c r="L113" s="3">
        <v>9</v>
      </c>
      <c r="M113" s="3">
        <v>14</v>
      </c>
      <c r="P113" s="9" t="s">
        <v>29</v>
      </c>
      <c r="Q113" s="9" t="s">
        <v>29</v>
      </c>
      <c r="R113" s="9" t="s">
        <v>29</v>
      </c>
      <c r="S113" s="9" t="s">
        <v>29</v>
      </c>
      <c r="T113" s="9" t="s">
        <v>29</v>
      </c>
      <c r="U113" s="9" t="s">
        <v>29</v>
      </c>
      <c r="V113" s="16" t="s">
        <v>29</v>
      </c>
      <c r="W113" s="16" t="s">
        <v>29</v>
      </c>
      <c r="X113" s="16" t="s">
        <v>29</v>
      </c>
      <c r="Y113" s="16" t="s">
        <v>29</v>
      </c>
      <c r="AB113" s="9" t="s">
        <v>29</v>
      </c>
      <c r="AC113" s="9" t="s">
        <v>29</v>
      </c>
      <c r="AD113">
        <f>SUM(G113:I113)</f>
        <v>7</v>
      </c>
      <c r="AE113">
        <f>SUM(J113:K113)</f>
        <v>6</v>
      </c>
      <c r="AF113">
        <f>ABS(L113-M113)</f>
        <v>5</v>
      </c>
      <c r="AG113">
        <f>AVERAGE(L113:M113)</f>
        <v>11.5</v>
      </c>
      <c r="AI113">
        <f>MAX(L113:M113)</f>
        <v>14</v>
      </c>
      <c r="AJ113">
        <f>MIN(L113:M113)</f>
        <v>9</v>
      </c>
      <c r="AK113" t="s">
        <v>29</v>
      </c>
      <c r="AM113" s="16" t="s">
        <v>29</v>
      </c>
      <c r="AN113" s="16" t="s">
        <v>29</v>
      </c>
      <c r="AO113" s="16" t="s">
        <v>29</v>
      </c>
      <c r="AP113" s="16" t="s">
        <v>29</v>
      </c>
      <c r="AQ113" t="str">
        <f t="shared" si="2"/>
        <v>NA</v>
      </c>
      <c r="AR113" t="str">
        <f t="shared" si="3"/>
        <v>NA</v>
      </c>
    </row>
    <row r="114" spans="1:44" ht="14.4" x14ac:dyDescent="0.3">
      <c r="A114" s="3">
        <v>3</v>
      </c>
      <c r="B114" s="3" t="s">
        <v>41</v>
      </c>
      <c r="C114" s="3">
        <v>21</v>
      </c>
      <c r="D114" s="3">
        <v>3</v>
      </c>
      <c r="E114" s="3" t="s">
        <v>27</v>
      </c>
      <c r="F114" s="2" t="s">
        <v>28</v>
      </c>
      <c r="G114" s="3">
        <v>6</v>
      </c>
      <c r="H114" s="3">
        <v>0</v>
      </c>
      <c r="I114" s="3">
        <v>0</v>
      </c>
      <c r="J114" s="3">
        <v>5</v>
      </c>
      <c r="K114" s="3">
        <v>0</v>
      </c>
      <c r="L114" s="3">
        <v>32</v>
      </c>
      <c r="M114" s="3">
        <v>26</v>
      </c>
      <c r="P114" s="9" t="s">
        <v>29</v>
      </c>
      <c r="Q114" s="9" t="s">
        <v>29</v>
      </c>
      <c r="R114" s="9" t="s">
        <v>29</v>
      </c>
      <c r="S114" s="9" t="s">
        <v>29</v>
      </c>
      <c r="T114" s="9" t="s">
        <v>29</v>
      </c>
      <c r="U114" s="9" t="s">
        <v>29</v>
      </c>
      <c r="V114" s="16" t="s">
        <v>29</v>
      </c>
      <c r="W114" s="16" t="s">
        <v>29</v>
      </c>
      <c r="X114" s="16" t="s">
        <v>29</v>
      </c>
      <c r="Y114" s="16" t="s">
        <v>29</v>
      </c>
      <c r="AB114" s="9" t="s">
        <v>29</v>
      </c>
      <c r="AC114" s="9" t="s">
        <v>29</v>
      </c>
      <c r="AD114">
        <f>SUM(G114:I114)</f>
        <v>6</v>
      </c>
      <c r="AE114">
        <f>SUM(J114:K114)</f>
        <v>5</v>
      </c>
      <c r="AF114">
        <f>ABS(L114-M114)</f>
        <v>6</v>
      </c>
      <c r="AG114">
        <f>AVERAGE(L114:M114)</f>
        <v>29</v>
      </c>
      <c r="AI114">
        <f>MAX(L114:M114)</f>
        <v>32</v>
      </c>
      <c r="AJ114">
        <f>MIN(L114:M114)</f>
        <v>26</v>
      </c>
      <c r="AK114" t="s">
        <v>29</v>
      </c>
      <c r="AM114" s="16" t="s">
        <v>29</v>
      </c>
      <c r="AN114" s="16" t="s">
        <v>29</v>
      </c>
      <c r="AO114" s="16" t="s">
        <v>29</v>
      </c>
      <c r="AP114" s="16" t="s">
        <v>29</v>
      </c>
      <c r="AQ114" t="str">
        <f t="shared" si="2"/>
        <v>NA</v>
      </c>
      <c r="AR114" t="str">
        <f t="shared" si="3"/>
        <v>NA</v>
      </c>
    </row>
    <row r="115" spans="1:44" ht="14.4" x14ac:dyDescent="0.3">
      <c r="A115" s="3">
        <v>3</v>
      </c>
      <c r="B115" s="3" t="s">
        <v>41</v>
      </c>
      <c r="C115" s="3">
        <v>28</v>
      </c>
      <c r="D115" s="3">
        <v>4</v>
      </c>
      <c r="E115" s="3" t="s">
        <v>27</v>
      </c>
      <c r="F115" s="2" t="s">
        <v>28</v>
      </c>
      <c r="G115" s="3">
        <v>1</v>
      </c>
      <c r="H115" s="3">
        <v>0</v>
      </c>
      <c r="I115" s="3">
        <v>0</v>
      </c>
      <c r="J115" s="3">
        <v>1</v>
      </c>
      <c r="K115" s="3">
        <v>0</v>
      </c>
      <c r="L115" s="3">
        <v>5</v>
      </c>
      <c r="M115" s="3">
        <v>5</v>
      </c>
      <c r="P115" s="9" t="s">
        <v>29</v>
      </c>
      <c r="Q115" s="9" t="s">
        <v>29</v>
      </c>
      <c r="R115" s="9" t="s">
        <v>29</v>
      </c>
      <c r="S115" s="9" t="s">
        <v>29</v>
      </c>
      <c r="T115" s="9" t="s">
        <v>29</v>
      </c>
      <c r="U115" s="9" t="s">
        <v>29</v>
      </c>
      <c r="V115" s="16" t="s">
        <v>29</v>
      </c>
      <c r="W115" s="16" t="s">
        <v>29</v>
      </c>
      <c r="X115" s="16" t="s">
        <v>29</v>
      </c>
      <c r="Y115" s="16" t="s">
        <v>29</v>
      </c>
      <c r="AB115" s="9" t="s">
        <v>29</v>
      </c>
      <c r="AC115" s="9" t="s">
        <v>29</v>
      </c>
      <c r="AD115">
        <f>SUM(G115:I115)</f>
        <v>1</v>
      </c>
      <c r="AE115">
        <f>SUM(J115:K115)</f>
        <v>1</v>
      </c>
      <c r="AF115">
        <f>ABS(L115-M115)</f>
        <v>0</v>
      </c>
      <c r="AG115">
        <f>AVERAGE(L115:M115)</f>
        <v>5</v>
      </c>
      <c r="AI115">
        <f>MAX(L115:M115)</f>
        <v>5</v>
      </c>
      <c r="AJ115">
        <f>MIN(L115:M115)</f>
        <v>5</v>
      </c>
      <c r="AK115" t="s">
        <v>29</v>
      </c>
      <c r="AM115" s="16" t="s">
        <v>29</v>
      </c>
      <c r="AN115" s="16" t="s">
        <v>29</v>
      </c>
      <c r="AO115" s="16" t="s">
        <v>29</v>
      </c>
      <c r="AP115" s="16" t="s">
        <v>29</v>
      </c>
      <c r="AQ115" t="str">
        <f t="shared" si="2"/>
        <v>NA</v>
      </c>
      <c r="AR115" t="str">
        <f t="shared" si="3"/>
        <v>NA</v>
      </c>
    </row>
    <row r="116" spans="1:44" ht="14.4" x14ac:dyDescent="0.3">
      <c r="A116" s="3">
        <v>3</v>
      </c>
      <c r="B116" s="3" t="s">
        <v>41</v>
      </c>
      <c r="C116" s="3">
        <v>35</v>
      </c>
      <c r="D116" s="3">
        <v>5</v>
      </c>
      <c r="E116" s="3" t="s">
        <v>27</v>
      </c>
      <c r="F116" s="2" t="s">
        <v>28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12</v>
      </c>
      <c r="M116" s="3">
        <v>7</v>
      </c>
      <c r="P116" s="9" t="s">
        <v>29</v>
      </c>
      <c r="Q116" s="9" t="s">
        <v>29</v>
      </c>
      <c r="R116" s="9" t="s">
        <v>29</v>
      </c>
      <c r="S116" s="9" t="s">
        <v>29</v>
      </c>
      <c r="T116" s="9" t="s">
        <v>29</v>
      </c>
      <c r="U116" s="9" t="s">
        <v>29</v>
      </c>
      <c r="V116" s="16" t="s">
        <v>29</v>
      </c>
      <c r="W116" s="16" t="s">
        <v>29</v>
      </c>
      <c r="X116" s="16" t="s">
        <v>29</v>
      </c>
      <c r="Y116" s="16" t="s">
        <v>29</v>
      </c>
      <c r="AB116" s="9" t="s">
        <v>29</v>
      </c>
      <c r="AC116" s="9" t="s">
        <v>29</v>
      </c>
      <c r="AD116">
        <f>SUM(G116:I116)</f>
        <v>0</v>
      </c>
      <c r="AE116">
        <f>SUM(J116:K116)</f>
        <v>0</v>
      </c>
      <c r="AF116">
        <f>ABS(L116-M116)</f>
        <v>5</v>
      </c>
      <c r="AG116">
        <f>AVERAGE(L116:M116)</f>
        <v>9.5</v>
      </c>
      <c r="AI116">
        <f>MAX(L116:M116)</f>
        <v>12</v>
      </c>
      <c r="AJ116">
        <f>MIN(L116:M116)</f>
        <v>7</v>
      </c>
      <c r="AK116" t="s">
        <v>29</v>
      </c>
      <c r="AM116" s="16" t="s">
        <v>29</v>
      </c>
      <c r="AN116" s="16" t="s">
        <v>29</v>
      </c>
      <c r="AO116" s="16" t="s">
        <v>29</v>
      </c>
      <c r="AP116" s="16" t="s">
        <v>29</v>
      </c>
      <c r="AQ116" t="str">
        <f t="shared" si="2"/>
        <v>NA</v>
      </c>
      <c r="AR116" t="str">
        <f t="shared" si="3"/>
        <v>NA</v>
      </c>
    </row>
    <row r="117" spans="1:44" ht="13.2" x14ac:dyDescent="0.25">
      <c r="A117" s="3">
        <v>17</v>
      </c>
      <c r="B117" s="3" t="s">
        <v>33</v>
      </c>
      <c r="C117" s="3">
        <v>7</v>
      </c>
      <c r="D117" s="3">
        <v>1</v>
      </c>
      <c r="E117" s="3" t="s">
        <v>27</v>
      </c>
      <c r="F117" s="3" t="s">
        <v>28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26</v>
      </c>
      <c r="M117" s="3">
        <v>15</v>
      </c>
      <c r="P117" s="9" t="s">
        <v>29</v>
      </c>
      <c r="Q117" s="9" t="s">
        <v>29</v>
      </c>
      <c r="R117" s="9" t="s">
        <v>29</v>
      </c>
      <c r="S117" s="9" t="s">
        <v>29</v>
      </c>
      <c r="T117" s="9" t="s">
        <v>29</v>
      </c>
      <c r="U117" s="9" t="s">
        <v>29</v>
      </c>
      <c r="V117" s="16" t="s">
        <v>29</v>
      </c>
      <c r="W117" s="16" t="s">
        <v>29</v>
      </c>
      <c r="X117" s="16" t="s">
        <v>29</v>
      </c>
      <c r="Y117" s="16" t="s">
        <v>29</v>
      </c>
      <c r="AB117" s="9" t="s">
        <v>29</v>
      </c>
      <c r="AC117" s="9" t="s">
        <v>29</v>
      </c>
      <c r="AD117">
        <f>SUM(G117:I117)</f>
        <v>0</v>
      </c>
      <c r="AE117">
        <f>SUM(J117:K117)</f>
        <v>1</v>
      </c>
      <c r="AF117">
        <f>ABS(L117-M117)</f>
        <v>11</v>
      </c>
      <c r="AG117">
        <f>AVERAGE(L117:M117)</f>
        <v>20.5</v>
      </c>
      <c r="AI117">
        <f>MAX(L117:M117)</f>
        <v>26</v>
      </c>
      <c r="AJ117">
        <f>MIN(L117:M117)</f>
        <v>15</v>
      </c>
      <c r="AK117" t="s">
        <v>29</v>
      </c>
      <c r="AM117" s="16" t="s">
        <v>29</v>
      </c>
      <c r="AN117" s="16" t="s">
        <v>29</v>
      </c>
      <c r="AO117" s="16" t="s">
        <v>29</v>
      </c>
      <c r="AP117" s="16" t="s">
        <v>29</v>
      </c>
      <c r="AQ117" t="str">
        <f t="shared" si="2"/>
        <v>NA</v>
      </c>
      <c r="AR117" t="str">
        <f t="shared" si="3"/>
        <v>NA</v>
      </c>
    </row>
    <row r="118" spans="1:44" ht="13.2" x14ac:dyDescent="0.25">
      <c r="A118" s="3">
        <v>17</v>
      </c>
      <c r="B118" s="3" t="s">
        <v>33</v>
      </c>
      <c r="C118" s="3">
        <v>14</v>
      </c>
      <c r="D118" s="3">
        <v>2</v>
      </c>
      <c r="E118" s="3" t="s">
        <v>27</v>
      </c>
      <c r="F118" s="3" t="s">
        <v>28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21</v>
      </c>
      <c r="M118" s="3">
        <v>28</v>
      </c>
      <c r="P118" s="9" t="s">
        <v>29</v>
      </c>
      <c r="Q118" s="9" t="s">
        <v>29</v>
      </c>
      <c r="R118" s="9" t="s">
        <v>29</v>
      </c>
      <c r="S118" s="9" t="s">
        <v>29</v>
      </c>
      <c r="T118" s="9" t="s">
        <v>29</v>
      </c>
      <c r="U118" s="9" t="s">
        <v>29</v>
      </c>
      <c r="V118" s="16" t="s">
        <v>29</v>
      </c>
      <c r="W118" s="16" t="s">
        <v>29</v>
      </c>
      <c r="X118" s="16" t="s">
        <v>29</v>
      </c>
      <c r="Y118" s="16" t="s">
        <v>29</v>
      </c>
      <c r="AB118" s="9" t="s">
        <v>29</v>
      </c>
      <c r="AC118" s="9" t="s">
        <v>29</v>
      </c>
      <c r="AD118">
        <f>SUM(G118:I118)</f>
        <v>0</v>
      </c>
      <c r="AE118">
        <f>SUM(J118:K118)</f>
        <v>0</v>
      </c>
      <c r="AF118">
        <f>ABS(L118-M118)</f>
        <v>7</v>
      </c>
      <c r="AG118">
        <f>AVERAGE(L118:M118)</f>
        <v>24.5</v>
      </c>
      <c r="AI118">
        <f>MAX(L118:M118)</f>
        <v>28</v>
      </c>
      <c r="AJ118">
        <f>MIN(L118:M118)</f>
        <v>21</v>
      </c>
      <c r="AK118" t="s">
        <v>29</v>
      </c>
      <c r="AM118" s="16" t="s">
        <v>29</v>
      </c>
      <c r="AN118" s="16" t="s">
        <v>29</v>
      </c>
      <c r="AO118" s="16" t="s">
        <v>29</v>
      </c>
      <c r="AP118" s="16" t="s">
        <v>29</v>
      </c>
      <c r="AQ118" t="str">
        <f t="shared" si="2"/>
        <v>NA</v>
      </c>
      <c r="AR118" t="str">
        <f t="shared" si="3"/>
        <v>NA</v>
      </c>
    </row>
    <row r="119" spans="1:44" ht="13.2" x14ac:dyDescent="0.25">
      <c r="A119" s="3">
        <v>17</v>
      </c>
      <c r="B119" s="3" t="s">
        <v>33</v>
      </c>
      <c r="C119" s="3">
        <v>21</v>
      </c>
      <c r="D119" s="3">
        <v>3</v>
      </c>
      <c r="E119" s="3" t="s">
        <v>27</v>
      </c>
      <c r="F119" s="3" t="s">
        <v>28</v>
      </c>
      <c r="G119" s="3">
        <v>10</v>
      </c>
      <c r="H119" s="3">
        <v>0</v>
      </c>
      <c r="I119" s="3">
        <v>0</v>
      </c>
      <c r="J119" s="3">
        <v>2</v>
      </c>
      <c r="K119" s="3">
        <v>0</v>
      </c>
      <c r="L119" s="3">
        <v>24</v>
      </c>
      <c r="M119" s="3">
        <v>28</v>
      </c>
      <c r="P119" s="9" t="s">
        <v>29</v>
      </c>
      <c r="Q119" s="9" t="s">
        <v>29</v>
      </c>
      <c r="R119" s="9" t="s">
        <v>29</v>
      </c>
      <c r="S119" s="9" t="s">
        <v>29</v>
      </c>
      <c r="T119" s="9" t="s">
        <v>29</v>
      </c>
      <c r="U119" s="9" t="s">
        <v>29</v>
      </c>
      <c r="V119" s="16" t="s">
        <v>29</v>
      </c>
      <c r="W119" s="16" t="s">
        <v>29</v>
      </c>
      <c r="X119" s="16" t="s">
        <v>29</v>
      </c>
      <c r="Y119" s="16" t="s">
        <v>29</v>
      </c>
      <c r="AB119" s="9" t="s">
        <v>29</v>
      </c>
      <c r="AC119" s="9" t="s">
        <v>29</v>
      </c>
      <c r="AD119">
        <f>SUM(G119:I119)</f>
        <v>10</v>
      </c>
      <c r="AE119">
        <f>SUM(J119:K119)</f>
        <v>2</v>
      </c>
      <c r="AF119">
        <f>ABS(L119-M119)</f>
        <v>4</v>
      </c>
      <c r="AG119">
        <f>AVERAGE(L119:M119)</f>
        <v>26</v>
      </c>
      <c r="AI119">
        <f>MAX(L119:M119)</f>
        <v>28</v>
      </c>
      <c r="AJ119">
        <f>MIN(L119:M119)</f>
        <v>24</v>
      </c>
      <c r="AK119" t="s">
        <v>29</v>
      </c>
      <c r="AM119" s="16" t="s">
        <v>29</v>
      </c>
      <c r="AN119" s="16" t="s">
        <v>29</v>
      </c>
      <c r="AO119" s="16" t="s">
        <v>29</v>
      </c>
      <c r="AP119" s="16" t="s">
        <v>29</v>
      </c>
      <c r="AQ119" t="str">
        <f t="shared" si="2"/>
        <v>NA</v>
      </c>
      <c r="AR119" t="str">
        <f t="shared" si="3"/>
        <v>NA</v>
      </c>
    </row>
    <row r="120" spans="1:44" ht="13.2" x14ac:dyDescent="0.25">
      <c r="A120" s="3">
        <v>17</v>
      </c>
      <c r="B120" s="3" t="s">
        <v>33</v>
      </c>
      <c r="C120" s="3">
        <v>28</v>
      </c>
      <c r="D120" s="3">
        <v>4</v>
      </c>
      <c r="E120" s="3" t="s">
        <v>27</v>
      </c>
      <c r="F120" s="3" t="s">
        <v>31</v>
      </c>
      <c r="P120" s="10">
        <v>2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3">
        <v>0</v>
      </c>
      <c r="W120" s="3">
        <v>2</v>
      </c>
      <c r="X120" s="3">
        <v>0</v>
      </c>
      <c r="Y120" s="3">
        <v>0</v>
      </c>
      <c r="AB120" s="10">
        <v>18</v>
      </c>
      <c r="AC120" s="10">
        <v>11</v>
      </c>
      <c r="AD120">
        <f>SUM(P120:U120)</f>
        <v>2</v>
      </c>
      <c r="AE120">
        <f>SUM(V120:Y120)</f>
        <v>2</v>
      </c>
      <c r="AF120">
        <f>ABS(AB120-AC120)</f>
        <v>7</v>
      </c>
      <c r="AG120">
        <f>AVERAGE(AB120:AC120)</f>
        <v>14.5</v>
      </c>
      <c r="AI120">
        <f>MAX(AB120:AC120)</f>
        <v>18</v>
      </c>
      <c r="AJ120">
        <f>MIN(AB120:AC120)</f>
        <v>11</v>
      </c>
      <c r="AK120" t="s">
        <v>29</v>
      </c>
      <c r="AM120" s="17">
        <f>SUM(P120,R120,T120)</f>
        <v>2</v>
      </c>
      <c r="AN120" s="17">
        <f>SUM(Q120,S120,U120)</f>
        <v>0</v>
      </c>
      <c r="AO120" s="17">
        <f>SUM(V120,X120)</f>
        <v>0</v>
      </c>
      <c r="AP120" s="17">
        <f>SUM(W120,Y120)</f>
        <v>2</v>
      </c>
      <c r="AQ120">
        <f t="shared" si="2"/>
        <v>18</v>
      </c>
      <c r="AR120">
        <f t="shared" si="3"/>
        <v>11</v>
      </c>
    </row>
    <row r="121" spans="1:44" ht="13.2" x14ac:dyDescent="0.25">
      <c r="A121" s="3">
        <v>17</v>
      </c>
      <c r="B121" s="3" t="s">
        <v>33</v>
      </c>
      <c r="C121" s="3">
        <v>35</v>
      </c>
      <c r="D121" s="3">
        <v>5</v>
      </c>
      <c r="E121" s="3" t="s">
        <v>27</v>
      </c>
      <c r="F121" s="3" t="s">
        <v>31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3">
        <v>0</v>
      </c>
      <c r="W121" s="3">
        <v>0</v>
      </c>
      <c r="X121" s="3">
        <v>0</v>
      </c>
      <c r="Y121" s="3">
        <v>0</v>
      </c>
      <c r="AB121" s="10">
        <v>32</v>
      </c>
      <c r="AC121" s="10">
        <v>26</v>
      </c>
      <c r="AD121">
        <f>SUM(P121:U121)</f>
        <v>1</v>
      </c>
      <c r="AE121">
        <f>SUM(V121:Y121)</f>
        <v>0</v>
      </c>
      <c r="AF121">
        <f>ABS(AB121-AC121)</f>
        <v>6</v>
      </c>
      <c r="AG121">
        <f>AVERAGE(AB121:AC121)</f>
        <v>29</v>
      </c>
      <c r="AI121">
        <f>MAX(AB121:AC121)</f>
        <v>32</v>
      </c>
      <c r="AJ121">
        <f>MIN(AB121:AC121)</f>
        <v>26</v>
      </c>
      <c r="AK121" t="s">
        <v>29</v>
      </c>
      <c r="AM121" s="17">
        <f>SUM(P121,R121,T121)</f>
        <v>1</v>
      </c>
      <c r="AN121" s="17">
        <f>SUM(Q121,S121,U121)</f>
        <v>0</v>
      </c>
      <c r="AO121" s="17">
        <f>SUM(V121,X121)</f>
        <v>0</v>
      </c>
      <c r="AP121" s="17">
        <f>SUM(W121,Y121)</f>
        <v>0</v>
      </c>
      <c r="AQ121">
        <f t="shared" si="2"/>
        <v>32</v>
      </c>
      <c r="AR121">
        <f t="shared" si="3"/>
        <v>26</v>
      </c>
    </row>
    <row r="122" spans="1:44" ht="13.2" x14ac:dyDescent="0.25">
      <c r="A122" s="3">
        <v>10</v>
      </c>
      <c r="B122" s="3" t="s">
        <v>32</v>
      </c>
      <c r="C122" s="3">
        <v>7</v>
      </c>
      <c r="D122" s="3">
        <v>1</v>
      </c>
      <c r="E122" s="3" t="s">
        <v>27</v>
      </c>
      <c r="F122" s="3" t="s">
        <v>28</v>
      </c>
      <c r="G122" s="3">
        <v>1</v>
      </c>
      <c r="H122" s="3">
        <v>0</v>
      </c>
      <c r="I122" s="3">
        <v>0</v>
      </c>
      <c r="J122" s="3">
        <v>4</v>
      </c>
      <c r="K122" s="3">
        <v>0</v>
      </c>
      <c r="L122" s="3">
        <v>15</v>
      </c>
      <c r="M122" s="3">
        <v>6</v>
      </c>
      <c r="P122" s="9" t="s">
        <v>29</v>
      </c>
      <c r="Q122" s="9" t="s">
        <v>29</v>
      </c>
      <c r="R122" s="9" t="s">
        <v>29</v>
      </c>
      <c r="S122" s="9" t="s">
        <v>29</v>
      </c>
      <c r="T122" s="9" t="s">
        <v>29</v>
      </c>
      <c r="U122" s="9" t="s">
        <v>29</v>
      </c>
      <c r="V122" s="16" t="s">
        <v>29</v>
      </c>
      <c r="W122" s="16" t="s">
        <v>29</v>
      </c>
      <c r="X122" s="16" t="s">
        <v>29</v>
      </c>
      <c r="Y122" s="16" t="s">
        <v>29</v>
      </c>
      <c r="AB122" s="9" t="s">
        <v>29</v>
      </c>
      <c r="AC122" s="9" t="s">
        <v>29</v>
      </c>
      <c r="AD122">
        <f>SUM(G122:I122)</f>
        <v>1</v>
      </c>
      <c r="AE122">
        <f>SUM(J122:K122)</f>
        <v>4</v>
      </c>
      <c r="AF122">
        <f>ABS(L122-M122)</f>
        <v>9</v>
      </c>
      <c r="AG122">
        <f>AVERAGE(L122:M122)</f>
        <v>10.5</v>
      </c>
      <c r="AI122">
        <f>MAX(L122:M122)</f>
        <v>15</v>
      </c>
      <c r="AJ122">
        <f>MIN(L122:M122)</f>
        <v>6</v>
      </c>
      <c r="AK122" t="s">
        <v>29</v>
      </c>
      <c r="AM122" s="16" t="s">
        <v>29</v>
      </c>
      <c r="AN122" s="16" t="s">
        <v>29</v>
      </c>
      <c r="AO122" s="16" t="s">
        <v>29</v>
      </c>
      <c r="AP122" s="16" t="s">
        <v>29</v>
      </c>
      <c r="AQ122" t="str">
        <f t="shared" si="2"/>
        <v>NA</v>
      </c>
      <c r="AR122" t="str">
        <f t="shared" si="3"/>
        <v>NA</v>
      </c>
    </row>
    <row r="123" spans="1:44" ht="13.2" x14ac:dyDescent="0.25">
      <c r="A123" s="3">
        <v>10</v>
      </c>
      <c r="B123" s="3" t="s">
        <v>32</v>
      </c>
      <c r="C123" s="3">
        <v>14</v>
      </c>
      <c r="D123" s="3">
        <v>2</v>
      </c>
      <c r="E123" s="3" t="s">
        <v>27</v>
      </c>
      <c r="F123" s="3" t="s">
        <v>28</v>
      </c>
      <c r="G123" s="3">
        <v>4</v>
      </c>
      <c r="H123" s="3">
        <v>0</v>
      </c>
      <c r="I123" s="3">
        <v>0</v>
      </c>
      <c r="J123" s="3">
        <v>7</v>
      </c>
      <c r="K123" s="3">
        <v>0</v>
      </c>
      <c r="L123" s="3">
        <v>12</v>
      </c>
      <c r="M123" s="3">
        <v>14</v>
      </c>
      <c r="P123" s="9" t="s">
        <v>29</v>
      </c>
      <c r="Q123" s="9" t="s">
        <v>29</v>
      </c>
      <c r="R123" s="9" t="s">
        <v>29</v>
      </c>
      <c r="S123" s="9" t="s">
        <v>29</v>
      </c>
      <c r="T123" s="9" t="s">
        <v>29</v>
      </c>
      <c r="U123" s="9" t="s">
        <v>29</v>
      </c>
      <c r="V123" s="16" t="s">
        <v>29</v>
      </c>
      <c r="W123" s="16" t="s">
        <v>29</v>
      </c>
      <c r="X123" s="16" t="s">
        <v>29</v>
      </c>
      <c r="Y123" s="16" t="s">
        <v>29</v>
      </c>
      <c r="AB123" s="9" t="s">
        <v>29</v>
      </c>
      <c r="AC123" s="9" t="s">
        <v>29</v>
      </c>
      <c r="AD123">
        <f>SUM(G123:I123)</f>
        <v>4</v>
      </c>
      <c r="AE123">
        <f>SUM(J123:K123)</f>
        <v>7</v>
      </c>
      <c r="AF123">
        <f>ABS(L123-M123)</f>
        <v>2</v>
      </c>
      <c r="AG123">
        <f>AVERAGE(L123:M123)</f>
        <v>13</v>
      </c>
      <c r="AI123">
        <f>MAX(L123:M123)</f>
        <v>14</v>
      </c>
      <c r="AJ123">
        <f>MIN(L123:M123)</f>
        <v>12</v>
      </c>
      <c r="AK123" t="s">
        <v>29</v>
      </c>
      <c r="AM123" s="16" t="s">
        <v>29</v>
      </c>
      <c r="AN123" s="16" t="s">
        <v>29</v>
      </c>
      <c r="AO123" s="16" t="s">
        <v>29</v>
      </c>
      <c r="AP123" s="16" t="s">
        <v>29</v>
      </c>
      <c r="AQ123" t="str">
        <f t="shared" si="2"/>
        <v>NA</v>
      </c>
      <c r="AR123" t="str">
        <f t="shared" si="3"/>
        <v>NA</v>
      </c>
    </row>
    <row r="124" spans="1:44" ht="13.2" x14ac:dyDescent="0.25">
      <c r="A124" s="3">
        <v>10</v>
      </c>
      <c r="B124" s="3" t="s">
        <v>32</v>
      </c>
      <c r="C124" s="3">
        <v>21</v>
      </c>
      <c r="D124" s="3">
        <v>3</v>
      </c>
      <c r="E124" s="3" t="s">
        <v>27</v>
      </c>
      <c r="F124" s="3" t="s">
        <v>28</v>
      </c>
      <c r="G124" s="3">
        <v>6</v>
      </c>
      <c r="H124" s="3">
        <v>1</v>
      </c>
      <c r="I124" s="3">
        <v>0</v>
      </c>
      <c r="J124" s="3">
        <v>5</v>
      </c>
      <c r="K124" s="3">
        <v>0</v>
      </c>
      <c r="L124" s="3">
        <v>23</v>
      </c>
      <c r="M124" s="3">
        <v>23</v>
      </c>
      <c r="P124" s="9" t="s">
        <v>29</v>
      </c>
      <c r="Q124" s="9" t="s">
        <v>29</v>
      </c>
      <c r="R124" s="9" t="s">
        <v>29</v>
      </c>
      <c r="S124" s="9" t="s">
        <v>29</v>
      </c>
      <c r="T124" s="9" t="s">
        <v>29</v>
      </c>
      <c r="U124" s="9" t="s">
        <v>29</v>
      </c>
      <c r="V124" s="16" t="s">
        <v>29</v>
      </c>
      <c r="W124" s="16" t="s">
        <v>29</v>
      </c>
      <c r="X124" s="16" t="s">
        <v>29</v>
      </c>
      <c r="Y124" s="16" t="s">
        <v>29</v>
      </c>
      <c r="AB124" s="9" t="s">
        <v>29</v>
      </c>
      <c r="AC124" s="9" t="s">
        <v>29</v>
      </c>
      <c r="AD124">
        <f>SUM(G124:I124)</f>
        <v>7</v>
      </c>
      <c r="AE124">
        <f>SUM(J124:K124)</f>
        <v>5</v>
      </c>
      <c r="AF124">
        <f>ABS(L124-M124)</f>
        <v>0</v>
      </c>
      <c r="AG124">
        <f>AVERAGE(L124:M124)</f>
        <v>23</v>
      </c>
      <c r="AI124">
        <f>MAX(L124:M124)</f>
        <v>23</v>
      </c>
      <c r="AJ124">
        <f>MIN(L124:M124)</f>
        <v>23</v>
      </c>
      <c r="AK124" t="s">
        <v>29</v>
      </c>
      <c r="AM124" s="16" t="s">
        <v>29</v>
      </c>
      <c r="AN124" s="16" t="s">
        <v>29</v>
      </c>
      <c r="AO124" s="16" t="s">
        <v>29</v>
      </c>
      <c r="AP124" s="16" t="s">
        <v>29</v>
      </c>
      <c r="AQ124" t="str">
        <f t="shared" si="2"/>
        <v>NA</v>
      </c>
      <c r="AR124" t="str">
        <f t="shared" si="3"/>
        <v>NA</v>
      </c>
    </row>
    <row r="125" spans="1:44" ht="13.2" x14ac:dyDescent="0.25">
      <c r="A125" s="3">
        <v>10</v>
      </c>
      <c r="B125" s="3" t="s">
        <v>32</v>
      </c>
      <c r="C125" s="3">
        <v>28</v>
      </c>
      <c r="D125" s="3">
        <v>4</v>
      </c>
      <c r="E125" s="3" t="s">
        <v>27</v>
      </c>
      <c r="F125" s="3" t="s">
        <v>31</v>
      </c>
      <c r="P125" s="10">
        <v>1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3">
        <v>0</v>
      </c>
      <c r="W125" s="3">
        <v>1</v>
      </c>
      <c r="X125" s="3">
        <v>0</v>
      </c>
      <c r="Y125" s="3">
        <v>0</v>
      </c>
      <c r="AB125" s="10">
        <v>11</v>
      </c>
      <c r="AC125" s="10">
        <v>8</v>
      </c>
      <c r="AD125">
        <f>SUM(P125:U125)</f>
        <v>1</v>
      </c>
      <c r="AE125">
        <f>SUM(V125:Y125)</f>
        <v>1</v>
      </c>
      <c r="AF125">
        <f>ABS(AB125-AC125)</f>
        <v>3</v>
      </c>
      <c r="AG125">
        <f>AVERAGE(AB125:AC125)</f>
        <v>9.5</v>
      </c>
      <c r="AI125">
        <f>MAX(AB125:AC125)</f>
        <v>11</v>
      </c>
      <c r="AJ125">
        <f>MIN(AB125:AC125)</f>
        <v>8</v>
      </c>
      <c r="AK125" t="s">
        <v>29</v>
      </c>
      <c r="AM125" s="17">
        <f>SUM(P125,R125,T125)</f>
        <v>1</v>
      </c>
      <c r="AN125" s="17">
        <f>SUM(Q125,S125,U125)</f>
        <v>0</v>
      </c>
      <c r="AO125" s="17">
        <f>SUM(V125,X125)</f>
        <v>0</v>
      </c>
      <c r="AP125" s="17">
        <f>SUM(W125,Y125)</f>
        <v>1</v>
      </c>
      <c r="AQ125">
        <f t="shared" si="2"/>
        <v>11</v>
      </c>
      <c r="AR125">
        <f t="shared" si="3"/>
        <v>8</v>
      </c>
    </row>
    <row r="126" spans="1:44" ht="13.2" x14ac:dyDescent="0.25">
      <c r="A126" s="3">
        <v>10</v>
      </c>
      <c r="B126" s="3" t="s">
        <v>32</v>
      </c>
      <c r="C126" s="3">
        <v>35</v>
      </c>
      <c r="D126" s="3">
        <v>5</v>
      </c>
      <c r="E126" s="3" t="s">
        <v>27</v>
      </c>
      <c r="F126" s="3" t="s">
        <v>31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3">
        <v>0</v>
      </c>
      <c r="W126" s="3">
        <v>0</v>
      </c>
      <c r="X126" s="3">
        <v>0</v>
      </c>
      <c r="Y126" s="3">
        <v>0</v>
      </c>
      <c r="AB126" s="10">
        <v>14</v>
      </c>
      <c r="AC126" s="10">
        <v>5</v>
      </c>
      <c r="AD126">
        <f>SUM(P126:U126)</f>
        <v>0</v>
      </c>
      <c r="AE126">
        <f>SUM(V126:Y126)</f>
        <v>0</v>
      </c>
      <c r="AF126">
        <f>ABS(AB126-AC126)</f>
        <v>9</v>
      </c>
      <c r="AG126">
        <f>AVERAGE(AB126:AC126)</f>
        <v>9.5</v>
      </c>
      <c r="AI126">
        <f>MAX(AB126:AC126)</f>
        <v>14</v>
      </c>
      <c r="AJ126">
        <f>MIN(AB126:AC126)</f>
        <v>5</v>
      </c>
      <c r="AK126" t="s">
        <v>29</v>
      </c>
      <c r="AM126" s="17">
        <f>SUM(P126,R126,T126)</f>
        <v>0</v>
      </c>
      <c r="AN126" s="17">
        <f>SUM(Q126,S126,U126)</f>
        <v>0</v>
      </c>
      <c r="AO126" s="17">
        <f>SUM(V126,X126)</f>
        <v>0</v>
      </c>
      <c r="AP126" s="17">
        <f>SUM(W126,Y126)</f>
        <v>0</v>
      </c>
      <c r="AQ126">
        <f t="shared" si="2"/>
        <v>14</v>
      </c>
      <c r="AR126">
        <f t="shared" si="3"/>
        <v>5</v>
      </c>
    </row>
    <row r="127" spans="1:44" ht="14.4" x14ac:dyDescent="0.3">
      <c r="A127" s="3">
        <v>1</v>
      </c>
      <c r="B127" s="3" t="s">
        <v>44</v>
      </c>
      <c r="C127" s="3">
        <v>7</v>
      </c>
      <c r="D127" s="3">
        <v>1</v>
      </c>
      <c r="E127" s="3" t="s">
        <v>27</v>
      </c>
      <c r="F127" s="2" t="s">
        <v>28</v>
      </c>
      <c r="G127" s="3">
        <v>12</v>
      </c>
      <c r="H127" s="3">
        <v>4</v>
      </c>
      <c r="I127" s="3">
        <v>0</v>
      </c>
      <c r="J127" s="3">
        <v>12</v>
      </c>
      <c r="K127" s="3">
        <v>0</v>
      </c>
      <c r="L127" s="3">
        <v>44</v>
      </c>
      <c r="M127" s="4">
        <v>19</v>
      </c>
      <c r="P127" s="9" t="s">
        <v>29</v>
      </c>
      <c r="Q127" s="9" t="s">
        <v>29</v>
      </c>
      <c r="R127" s="9" t="s">
        <v>29</v>
      </c>
      <c r="S127" s="9" t="s">
        <v>29</v>
      </c>
      <c r="T127" s="9" t="s">
        <v>29</v>
      </c>
      <c r="U127" s="9" t="s">
        <v>29</v>
      </c>
      <c r="V127" s="16" t="s">
        <v>29</v>
      </c>
      <c r="W127" s="16" t="s">
        <v>29</v>
      </c>
      <c r="X127" s="16" t="s">
        <v>29</v>
      </c>
      <c r="Y127" s="16" t="s">
        <v>29</v>
      </c>
      <c r="AB127" s="9" t="s">
        <v>29</v>
      </c>
      <c r="AC127" s="9" t="s">
        <v>29</v>
      </c>
      <c r="AD127">
        <f>SUM(G127:I127)</f>
        <v>16</v>
      </c>
      <c r="AE127">
        <f>SUM(J127:K127)</f>
        <v>12</v>
      </c>
      <c r="AF127">
        <f>ABS(L127-M127)</f>
        <v>25</v>
      </c>
      <c r="AG127">
        <f>AVERAGE(L127:M127)</f>
        <v>31.5</v>
      </c>
      <c r="AI127">
        <f>MAX(L127:M127)</f>
        <v>44</v>
      </c>
      <c r="AJ127">
        <f>MIN(L127:M127)</f>
        <v>19</v>
      </c>
      <c r="AK127" t="s">
        <v>29</v>
      </c>
      <c r="AM127" s="16" t="s">
        <v>29</v>
      </c>
      <c r="AN127" s="16" t="s">
        <v>29</v>
      </c>
      <c r="AO127" s="16" t="s">
        <v>29</v>
      </c>
      <c r="AP127" s="16" t="s">
        <v>29</v>
      </c>
      <c r="AQ127" t="str">
        <f t="shared" si="2"/>
        <v>NA</v>
      </c>
      <c r="AR127" t="str">
        <f t="shared" si="3"/>
        <v>NA</v>
      </c>
    </row>
    <row r="128" spans="1:44" ht="14.4" x14ac:dyDescent="0.3">
      <c r="A128" s="3">
        <v>1</v>
      </c>
      <c r="B128" s="3" t="s">
        <v>44</v>
      </c>
      <c r="C128" s="3">
        <v>14</v>
      </c>
      <c r="D128" s="3">
        <v>2</v>
      </c>
      <c r="E128" s="3" t="s">
        <v>27</v>
      </c>
      <c r="F128" s="2" t="s">
        <v>28</v>
      </c>
      <c r="G128" s="3">
        <v>6</v>
      </c>
      <c r="H128" s="3">
        <v>3</v>
      </c>
      <c r="I128" s="3">
        <v>0</v>
      </c>
      <c r="J128" s="3">
        <v>3</v>
      </c>
      <c r="K128" s="3">
        <v>0</v>
      </c>
      <c r="L128" s="3">
        <v>11</v>
      </c>
      <c r="M128" s="3">
        <v>13</v>
      </c>
      <c r="P128" s="9" t="s">
        <v>29</v>
      </c>
      <c r="Q128" s="9" t="s">
        <v>29</v>
      </c>
      <c r="R128" s="9" t="s">
        <v>29</v>
      </c>
      <c r="S128" s="9" t="s">
        <v>29</v>
      </c>
      <c r="T128" s="9" t="s">
        <v>29</v>
      </c>
      <c r="U128" s="9" t="s">
        <v>29</v>
      </c>
      <c r="V128" s="16" t="s">
        <v>29</v>
      </c>
      <c r="W128" s="16" t="s">
        <v>29</v>
      </c>
      <c r="X128" s="16" t="s">
        <v>29</v>
      </c>
      <c r="Y128" s="16" t="s">
        <v>29</v>
      </c>
      <c r="AB128" s="9" t="s">
        <v>29</v>
      </c>
      <c r="AC128" s="9" t="s">
        <v>29</v>
      </c>
      <c r="AD128">
        <f>SUM(G128:I128)</f>
        <v>9</v>
      </c>
      <c r="AE128">
        <f>SUM(J128:K128)</f>
        <v>3</v>
      </c>
      <c r="AF128">
        <f>ABS(L128-M128)</f>
        <v>2</v>
      </c>
      <c r="AG128">
        <f>AVERAGE(L128:M128)</f>
        <v>12</v>
      </c>
      <c r="AI128">
        <f>MAX(L128:M128)</f>
        <v>13</v>
      </c>
      <c r="AJ128">
        <f>MIN(L128:M128)</f>
        <v>11</v>
      </c>
      <c r="AK128" t="s">
        <v>29</v>
      </c>
      <c r="AM128" s="16" t="s">
        <v>29</v>
      </c>
      <c r="AN128" s="16" t="s">
        <v>29</v>
      </c>
      <c r="AO128" s="16" t="s">
        <v>29</v>
      </c>
      <c r="AP128" s="16" t="s">
        <v>29</v>
      </c>
      <c r="AQ128" t="str">
        <f t="shared" si="2"/>
        <v>NA</v>
      </c>
      <c r="AR128" t="str">
        <f t="shared" si="3"/>
        <v>NA</v>
      </c>
    </row>
    <row r="129" spans="1:44" ht="14.4" x14ac:dyDescent="0.3">
      <c r="A129" s="3">
        <v>1</v>
      </c>
      <c r="B129" s="3" t="s">
        <v>44</v>
      </c>
      <c r="C129" s="3">
        <v>21</v>
      </c>
      <c r="D129" s="3">
        <v>3</v>
      </c>
      <c r="E129" s="3" t="s">
        <v>27</v>
      </c>
      <c r="F129" s="2" t="s">
        <v>28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24</v>
      </c>
      <c r="M129" s="3">
        <v>21</v>
      </c>
      <c r="P129" s="9" t="s">
        <v>29</v>
      </c>
      <c r="Q129" s="9" t="s">
        <v>29</v>
      </c>
      <c r="R129" s="9" t="s">
        <v>29</v>
      </c>
      <c r="S129" s="9" t="s">
        <v>29</v>
      </c>
      <c r="T129" s="9" t="s">
        <v>29</v>
      </c>
      <c r="U129" s="9" t="s">
        <v>29</v>
      </c>
      <c r="V129" s="16" t="s">
        <v>29</v>
      </c>
      <c r="W129" s="16" t="s">
        <v>29</v>
      </c>
      <c r="X129" s="16" t="s">
        <v>29</v>
      </c>
      <c r="Y129" s="16" t="s">
        <v>29</v>
      </c>
      <c r="AB129" s="9" t="s">
        <v>29</v>
      </c>
      <c r="AC129" s="9" t="s">
        <v>29</v>
      </c>
      <c r="AD129">
        <f>SUM(G129:I129)</f>
        <v>0</v>
      </c>
      <c r="AE129">
        <f>SUM(J129:K129)</f>
        <v>0</v>
      </c>
      <c r="AF129">
        <f>ABS(L129-M129)</f>
        <v>3</v>
      </c>
      <c r="AG129">
        <f>AVERAGE(L129:M129)</f>
        <v>22.5</v>
      </c>
      <c r="AI129">
        <f>MAX(L129:M129)</f>
        <v>24</v>
      </c>
      <c r="AJ129">
        <f>MIN(L129:M129)</f>
        <v>21</v>
      </c>
      <c r="AK129" t="s">
        <v>29</v>
      </c>
      <c r="AM129" s="16" t="s">
        <v>29</v>
      </c>
      <c r="AN129" s="16" t="s">
        <v>29</v>
      </c>
      <c r="AO129" s="16" t="s">
        <v>29</v>
      </c>
      <c r="AP129" s="16" t="s">
        <v>29</v>
      </c>
      <c r="AQ129" t="str">
        <f t="shared" si="2"/>
        <v>NA</v>
      </c>
      <c r="AR129" t="str">
        <f t="shared" si="3"/>
        <v>NA</v>
      </c>
    </row>
    <row r="130" spans="1:44" ht="14.4" x14ac:dyDescent="0.3">
      <c r="A130" s="3">
        <v>1</v>
      </c>
      <c r="B130" s="3" t="s">
        <v>44</v>
      </c>
      <c r="C130" s="3">
        <v>28</v>
      </c>
      <c r="D130" s="3">
        <v>4</v>
      </c>
      <c r="E130" s="3" t="s">
        <v>27</v>
      </c>
      <c r="F130" s="2" t="s">
        <v>28</v>
      </c>
      <c r="G130" s="3">
        <v>1</v>
      </c>
      <c r="H130" s="3">
        <v>0</v>
      </c>
      <c r="I130" s="3">
        <v>0</v>
      </c>
      <c r="J130" s="3">
        <v>1</v>
      </c>
      <c r="K130" s="3">
        <v>0</v>
      </c>
      <c r="L130" s="3">
        <v>9</v>
      </c>
      <c r="M130" s="3">
        <v>6</v>
      </c>
      <c r="P130" s="9" t="s">
        <v>29</v>
      </c>
      <c r="Q130" s="9" t="s">
        <v>29</v>
      </c>
      <c r="R130" s="9" t="s">
        <v>29</v>
      </c>
      <c r="S130" s="9" t="s">
        <v>29</v>
      </c>
      <c r="T130" s="9" t="s">
        <v>29</v>
      </c>
      <c r="U130" s="9" t="s">
        <v>29</v>
      </c>
      <c r="V130" s="16" t="s">
        <v>29</v>
      </c>
      <c r="W130" s="16" t="s">
        <v>29</v>
      </c>
      <c r="X130" s="16" t="s">
        <v>29</v>
      </c>
      <c r="Y130" s="16" t="s">
        <v>29</v>
      </c>
      <c r="AB130" s="9" t="s">
        <v>29</v>
      </c>
      <c r="AC130" s="9" t="s">
        <v>29</v>
      </c>
      <c r="AD130">
        <f>SUM(G130:I130)</f>
        <v>1</v>
      </c>
      <c r="AE130">
        <f>SUM(J130:K130)</f>
        <v>1</v>
      </c>
      <c r="AF130">
        <f>ABS(L130-M130)</f>
        <v>3</v>
      </c>
      <c r="AG130">
        <f>AVERAGE(L130:M130)</f>
        <v>7.5</v>
      </c>
      <c r="AI130">
        <f>MAX(L130:M130)</f>
        <v>9</v>
      </c>
      <c r="AJ130">
        <f>MIN(L130:M130)</f>
        <v>6</v>
      </c>
      <c r="AK130" t="s">
        <v>29</v>
      </c>
      <c r="AM130" s="16" t="s">
        <v>29</v>
      </c>
      <c r="AN130" s="16" t="s">
        <v>29</v>
      </c>
      <c r="AO130" s="16" t="s">
        <v>29</v>
      </c>
      <c r="AP130" s="16" t="s">
        <v>29</v>
      </c>
      <c r="AQ130" t="str">
        <f t="shared" si="2"/>
        <v>NA</v>
      </c>
      <c r="AR130" t="str">
        <f t="shared" si="3"/>
        <v>NA</v>
      </c>
    </row>
    <row r="131" spans="1:44" ht="14.4" x14ac:dyDescent="0.3">
      <c r="A131" s="3">
        <v>1</v>
      </c>
      <c r="B131" s="3" t="s">
        <v>44</v>
      </c>
      <c r="C131" s="3">
        <v>35</v>
      </c>
      <c r="D131" s="3">
        <v>5</v>
      </c>
      <c r="E131" s="3" t="s">
        <v>27</v>
      </c>
      <c r="F131" s="2" t="s">
        <v>28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2</v>
      </c>
      <c r="M131" s="3">
        <v>11</v>
      </c>
      <c r="P131" s="9" t="s">
        <v>29</v>
      </c>
      <c r="Q131" s="9" t="s">
        <v>29</v>
      </c>
      <c r="R131" s="9" t="s">
        <v>29</v>
      </c>
      <c r="S131" s="9" t="s">
        <v>29</v>
      </c>
      <c r="T131" s="9" t="s">
        <v>29</v>
      </c>
      <c r="U131" s="9" t="s">
        <v>29</v>
      </c>
      <c r="V131" s="16" t="s">
        <v>29</v>
      </c>
      <c r="W131" s="16" t="s">
        <v>29</v>
      </c>
      <c r="X131" s="16" t="s">
        <v>29</v>
      </c>
      <c r="Y131" s="16" t="s">
        <v>29</v>
      </c>
      <c r="AB131" s="9" t="s">
        <v>29</v>
      </c>
      <c r="AC131" s="9" t="s">
        <v>29</v>
      </c>
      <c r="AD131">
        <f>SUM(G131:I131)</f>
        <v>0</v>
      </c>
      <c r="AE131">
        <f>SUM(J131:K131)</f>
        <v>0</v>
      </c>
      <c r="AF131">
        <f>ABS(L131-M131)</f>
        <v>9</v>
      </c>
      <c r="AG131">
        <f>AVERAGE(L131:M131)</f>
        <v>6.5</v>
      </c>
      <c r="AI131">
        <f>MAX(L131:M131)</f>
        <v>11</v>
      </c>
      <c r="AJ131">
        <f>MIN(L131:M131)</f>
        <v>2</v>
      </c>
      <c r="AK131" t="s">
        <v>29</v>
      </c>
      <c r="AM131" s="16" t="s">
        <v>29</v>
      </c>
      <c r="AN131" s="16" t="s">
        <v>29</v>
      </c>
      <c r="AO131" s="16" t="s">
        <v>29</v>
      </c>
      <c r="AP131" s="16" t="s">
        <v>29</v>
      </c>
      <c r="AQ131" t="str">
        <f t="shared" ref="AQ131:AQ194" si="4">AB131</f>
        <v>NA</v>
      </c>
      <c r="AR131" t="str">
        <f t="shared" ref="AR131:AR194" si="5">AC131</f>
        <v>NA</v>
      </c>
    </row>
    <row r="132" spans="1:44" ht="14.4" x14ac:dyDescent="0.3">
      <c r="A132" s="2">
        <v>30</v>
      </c>
      <c r="B132" s="2" t="s">
        <v>50</v>
      </c>
      <c r="C132" s="3">
        <v>7</v>
      </c>
      <c r="D132" s="3">
        <v>1</v>
      </c>
      <c r="E132" s="3" t="s">
        <v>27</v>
      </c>
      <c r="F132" s="2" t="s">
        <v>28</v>
      </c>
      <c r="G132" s="3">
        <v>8</v>
      </c>
      <c r="H132" s="3">
        <v>0</v>
      </c>
      <c r="I132" s="3">
        <v>0</v>
      </c>
      <c r="J132" s="3">
        <v>7</v>
      </c>
      <c r="K132" s="3">
        <v>0</v>
      </c>
      <c r="L132" s="3">
        <v>18</v>
      </c>
      <c r="M132" s="3">
        <v>19</v>
      </c>
      <c r="P132" s="9" t="s">
        <v>29</v>
      </c>
      <c r="Q132" s="9" t="s">
        <v>29</v>
      </c>
      <c r="R132" s="9" t="s">
        <v>29</v>
      </c>
      <c r="S132" s="9" t="s">
        <v>29</v>
      </c>
      <c r="T132" s="9" t="s">
        <v>29</v>
      </c>
      <c r="U132" s="9" t="s">
        <v>29</v>
      </c>
      <c r="V132" s="16" t="s">
        <v>29</v>
      </c>
      <c r="W132" s="16" t="s">
        <v>29</v>
      </c>
      <c r="X132" s="16" t="s">
        <v>29</v>
      </c>
      <c r="Y132" s="16" t="s">
        <v>29</v>
      </c>
      <c r="AB132" s="9" t="s">
        <v>29</v>
      </c>
      <c r="AC132" s="9" t="s">
        <v>29</v>
      </c>
      <c r="AD132">
        <f>SUM(G132:I132)</f>
        <v>8</v>
      </c>
      <c r="AE132">
        <f>SUM(J132:K132)</f>
        <v>7</v>
      </c>
      <c r="AF132">
        <f>ABS(L132-M132)</f>
        <v>1</v>
      </c>
      <c r="AG132">
        <f>AVERAGE(L132:M132)</f>
        <v>18.5</v>
      </c>
      <c r="AI132">
        <f>MAX(L132:M132)</f>
        <v>19</v>
      </c>
      <c r="AJ132">
        <f>MIN(L132:M132)</f>
        <v>18</v>
      </c>
      <c r="AK132" t="s">
        <v>29</v>
      </c>
      <c r="AM132" s="16" t="s">
        <v>29</v>
      </c>
      <c r="AN132" s="16" t="s">
        <v>29</v>
      </c>
      <c r="AO132" s="16" t="s">
        <v>29</v>
      </c>
      <c r="AP132" s="16" t="s">
        <v>29</v>
      </c>
      <c r="AQ132" t="str">
        <f t="shared" si="4"/>
        <v>NA</v>
      </c>
      <c r="AR132" t="str">
        <f t="shared" si="5"/>
        <v>NA</v>
      </c>
    </row>
    <row r="133" spans="1:44" ht="14.4" x14ac:dyDescent="0.3">
      <c r="A133" s="2">
        <v>30</v>
      </c>
      <c r="B133" s="2" t="s">
        <v>50</v>
      </c>
      <c r="C133" s="3">
        <v>14</v>
      </c>
      <c r="D133" s="3">
        <v>2</v>
      </c>
      <c r="E133" s="3" t="s">
        <v>27</v>
      </c>
      <c r="F133" t="s">
        <v>29</v>
      </c>
      <c r="G133" t="s">
        <v>29</v>
      </c>
      <c r="H133" t="s">
        <v>29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P133" s="9" t="s">
        <v>29</v>
      </c>
      <c r="Q133" s="9" t="s">
        <v>29</v>
      </c>
      <c r="R133" s="9" t="s">
        <v>29</v>
      </c>
      <c r="S133" s="9" t="s">
        <v>29</v>
      </c>
      <c r="T133" s="9" t="s">
        <v>29</v>
      </c>
      <c r="U133" s="9" t="s">
        <v>29</v>
      </c>
      <c r="V133" s="16" t="s">
        <v>29</v>
      </c>
      <c r="W133" s="16" t="s">
        <v>29</v>
      </c>
      <c r="X133" s="16" t="s">
        <v>29</v>
      </c>
      <c r="Y133" s="16" t="s">
        <v>29</v>
      </c>
      <c r="AB133" s="9" t="s">
        <v>29</v>
      </c>
      <c r="AC133" s="9" t="s">
        <v>29</v>
      </c>
      <c r="AD133" s="3" t="s">
        <v>29</v>
      </c>
      <c r="AE133" s="3" t="s">
        <v>29</v>
      </c>
      <c r="AF133" s="3" t="s">
        <v>29</v>
      </c>
      <c r="AG133" s="3" t="s">
        <v>29</v>
      </c>
      <c r="AH133" s="3" t="s">
        <v>29</v>
      </c>
      <c r="AI133" s="3" t="s">
        <v>29</v>
      </c>
      <c r="AJ133" s="3" t="s">
        <v>29</v>
      </c>
      <c r="AK133" s="3" t="s">
        <v>29</v>
      </c>
      <c r="AM133" s="16" t="s">
        <v>29</v>
      </c>
      <c r="AN133" s="16" t="s">
        <v>29</v>
      </c>
      <c r="AO133" s="16" t="s">
        <v>29</v>
      </c>
      <c r="AP133" s="16" t="s">
        <v>29</v>
      </c>
      <c r="AQ133" t="str">
        <f t="shared" si="4"/>
        <v>NA</v>
      </c>
      <c r="AR133" t="str">
        <f t="shared" si="5"/>
        <v>NA</v>
      </c>
    </row>
    <row r="134" spans="1:44" ht="14.4" x14ac:dyDescent="0.3">
      <c r="A134" s="2">
        <v>30</v>
      </c>
      <c r="B134" s="2" t="s">
        <v>50</v>
      </c>
      <c r="C134" s="3">
        <v>21</v>
      </c>
      <c r="D134" s="3">
        <v>3</v>
      </c>
      <c r="E134" s="3" t="s">
        <v>27</v>
      </c>
      <c r="F134" s="3" t="s">
        <v>28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24</v>
      </c>
      <c r="M134" s="3">
        <v>13</v>
      </c>
      <c r="P134" s="9" t="s">
        <v>29</v>
      </c>
      <c r="Q134" s="9" t="s">
        <v>29</v>
      </c>
      <c r="R134" s="9" t="s">
        <v>29</v>
      </c>
      <c r="S134" s="9" t="s">
        <v>29</v>
      </c>
      <c r="T134" s="9" t="s">
        <v>29</v>
      </c>
      <c r="U134" s="9" t="s">
        <v>29</v>
      </c>
      <c r="V134" s="16" t="s">
        <v>29</v>
      </c>
      <c r="W134" s="16" t="s">
        <v>29</v>
      </c>
      <c r="X134" s="16" t="s">
        <v>29</v>
      </c>
      <c r="Y134" s="16" t="s">
        <v>29</v>
      </c>
      <c r="AB134" s="9" t="s">
        <v>29</v>
      </c>
      <c r="AC134" s="9" t="s">
        <v>29</v>
      </c>
      <c r="AD134">
        <f>SUM(G134:I134)</f>
        <v>0</v>
      </c>
      <c r="AE134">
        <f>SUM(J134:K134)</f>
        <v>0</v>
      </c>
      <c r="AF134">
        <f>ABS(L134-M134)</f>
        <v>11</v>
      </c>
      <c r="AG134">
        <f>AVERAGE(L134:M134)</f>
        <v>18.5</v>
      </c>
      <c r="AI134">
        <f>MAX(L134:M134)</f>
        <v>24</v>
      </c>
      <c r="AJ134">
        <f>MIN(L134:M134)</f>
        <v>13</v>
      </c>
      <c r="AK134" t="s">
        <v>29</v>
      </c>
      <c r="AM134" s="16" t="s">
        <v>29</v>
      </c>
      <c r="AN134" s="16" t="s">
        <v>29</v>
      </c>
      <c r="AO134" s="16" t="s">
        <v>29</v>
      </c>
      <c r="AP134" s="16" t="s">
        <v>29</v>
      </c>
      <c r="AQ134" t="str">
        <f t="shared" si="4"/>
        <v>NA</v>
      </c>
      <c r="AR134" t="str">
        <f t="shared" si="5"/>
        <v>NA</v>
      </c>
    </row>
    <row r="135" spans="1:44" ht="14.4" x14ac:dyDescent="0.3">
      <c r="A135" s="2">
        <v>30</v>
      </c>
      <c r="B135" s="2" t="s">
        <v>50</v>
      </c>
      <c r="C135" s="3">
        <v>28</v>
      </c>
      <c r="D135" s="3">
        <v>4</v>
      </c>
      <c r="E135" s="3" t="s">
        <v>27</v>
      </c>
      <c r="F135" s="3" t="s">
        <v>28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22</v>
      </c>
      <c r="M135" s="3">
        <v>8</v>
      </c>
      <c r="P135" s="9" t="s">
        <v>29</v>
      </c>
      <c r="Q135" s="9" t="s">
        <v>29</v>
      </c>
      <c r="R135" s="9" t="s">
        <v>29</v>
      </c>
      <c r="S135" s="9" t="s">
        <v>29</v>
      </c>
      <c r="T135" s="9" t="s">
        <v>29</v>
      </c>
      <c r="U135" s="9" t="s">
        <v>29</v>
      </c>
      <c r="V135" s="16" t="s">
        <v>29</v>
      </c>
      <c r="W135" s="16" t="s">
        <v>29</v>
      </c>
      <c r="X135" s="16" t="s">
        <v>29</v>
      </c>
      <c r="Y135" s="16" t="s">
        <v>29</v>
      </c>
      <c r="AB135" s="9" t="s">
        <v>29</v>
      </c>
      <c r="AC135" s="9" t="s">
        <v>29</v>
      </c>
      <c r="AD135">
        <f>SUM(G135:K135)</f>
        <v>0</v>
      </c>
      <c r="AE135">
        <f>SUM(J135:K135)</f>
        <v>0</v>
      </c>
      <c r="AF135">
        <f>ABS(L135-M135)</f>
        <v>14</v>
      </c>
      <c r="AG135">
        <f>AVERAGE(L135:M135)</f>
        <v>15</v>
      </c>
      <c r="AI135">
        <f>MAX(L135:M135)</f>
        <v>22</v>
      </c>
      <c r="AJ135">
        <f>MIN(L135:M135)</f>
        <v>8</v>
      </c>
      <c r="AM135" s="16" t="s">
        <v>29</v>
      </c>
      <c r="AN135" s="16" t="s">
        <v>29</v>
      </c>
      <c r="AO135" s="16" t="s">
        <v>29</v>
      </c>
      <c r="AP135" s="16" t="s">
        <v>29</v>
      </c>
      <c r="AQ135" t="str">
        <f t="shared" si="4"/>
        <v>NA</v>
      </c>
      <c r="AR135" t="str">
        <f t="shared" si="5"/>
        <v>NA</v>
      </c>
    </row>
    <row r="136" spans="1:44" ht="14.4" x14ac:dyDescent="0.3">
      <c r="A136" s="2">
        <v>30</v>
      </c>
      <c r="B136" s="2" t="s">
        <v>50</v>
      </c>
      <c r="C136" s="3">
        <v>35</v>
      </c>
      <c r="D136" s="3">
        <v>5</v>
      </c>
      <c r="E136" s="3" t="s">
        <v>27</v>
      </c>
      <c r="F136" s="3" t="s">
        <v>31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3">
        <v>0</v>
      </c>
      <c r="W136" s="3">
        <v>0</v>
      </c>
      <c r="X136" s="3">
        <v>0</v>
      </c>
      <c r="Y136" s="3">
        <v>0</v>
      </c>
      <c r="AB136" s="10">
        <v>12</v>
      </c>
      <c r="AC136" s="10">
        <v>7</v>
      </c>
      <c r="AD136">
        <f>SUM(P136:U136)</f>
        <v>0</v>
      </c>
      <c r="AE136">
        <f>SUM(V136:Y136)</f>
        <v>0</v>
      </c>
      <c r="AF136">
        <f>ABS(AB136-AC136)</f>
        <v>5</v>
      </c>
      <c r="AG136">
        <f>AVERAGE(AB136:AC136)</f>
        <v>9.5</v>
      </c>
      <c r="AI136">
        <f>MAX(AB136:AC136)</f>
        <v>12</v>
      </c>
      <c r="AJ136">
        <f>MIN(AB136:AC136)</f>
        <v>7</v>
      </c>
      <c r="AK136" t="s">
        <v>29</v>
      </c>
      <c r="AM136" s="17">
        <f>SUM(P136,R136,T136)</f>
        <v>0</v>
      </c>
      <c r="AN136" s="17">
        <f>SUM(Q136,S136,U136)</f>
        <v>0</v>
      </c>
      <c r="AO136" s="17">
        <f>SUM(V136,X136)</f>
        <v>0</v>
      </c>
      <c r="AP136" s="17">
        <f>SUM(W136,Y136)</f>
        <v>0</v>
      </c>
      <c r="AQ136">
        <f t="shared" si="4"/>
        <v>12</v>
      </c>
      <c r="AR136">
        <f t="shared" si="5"/>
        <v>7</v>
      </c>
    </row>
    <row r="137" spans="1:44" ht="14.4" x14ac:dyDescent="0.3">
      <c r="A137" s="2">
        <v>29</v>
      </c>
      <c r="B137" s="2" t="s">
        <v>58</v>
      </c>
      <c r="C137" s="3">
        <v>7</v>
      </c>
      <c r="D137" s="3">
        <v>1</v>
      </c>
      <c r="E137" s="3" t="s">
        <v>27</v>
      </c>
      <c r="F137" s="3" t="s">
        <v>28</v>
      </c>
      <c r="G137" s="3">
        <v>17</v>
      </c>
      <c r="H137" s="3">
        <v>1</v>
      </c>
      <c r="I137" s="3">
        <v>0</v>
      </c>
      <c r="J137" s="3">
        <v>16</v>
      </c>
      <c r="K137" s="3">
        <v>0</v>
      </c>
      <c r="L137" s="3">
        <v>22</v>
      </c>
      <c r="M137" s="3">
        <v>24</v>
      </c>
      <c r="P137" s="9" t="s">
        <v>29</v>
      </c>
      <c r="Q137" s="9" t="s">
        <v>29</v>
      </c>
      <c r="R137" s="9" t="s">
        <v>29</v>
      </c>
      <c r="S137" s="9" t="s">
        <v>29</v>
      </c>
      <c r="T137" s="9" t="s">
        <v>29</v>
      </c>
      <c r="U137" s="9" t="s">
        <v>29</v>
      </c>
      <c r="V137" s="16" t="s">
        <v>29</v>
      </c>
      <c r="W137" s="16" t="s">
        <v>29</v>
      </c>
      <c r="X137" s="16" t="s">
        <v>29</v>
      </c>
      <c r="Y137" s="16" t="s">
        <v>29</v>
      </c>
      <c r="AB137" s="9" t="s">
        <v>29</v>
      </c>
      <c r="AC137" s="9" t="s">
        <v>29</v>
      </c>
      <c r="AD137">
        <f>SUM(G137:I137)</f>
        <v>18</v>
      </c>
      <c r="AE137">
        <f>SUM(J137:K137)</f>
        <v>16</v>
      </c>
      <c r="AF137">
        <f>ABS(L137-M137)</f>
        <v>2</v>
      </c>
      <c r="AG137">
        <f>AVERAGE(L137:M137)</f>
        <v>23</v>
      </c>
      <c r="AI137">
        <f>MAX(L137:M137)</f>
        <v>24</v>
      </c>
      <c r="AJ137">
        <f>MIN(L137:M137)</f>
        <v>22</v>
      </c>
      <c r="AK137" t="s">
        <v>29</v>
      </c>
      <c r="AM137" s="16" t="s">
        <v>29</v>
      </c>
      <c r="AN137" s="16" t="s">
        <v>29</v>
      </c>
      <c r="AO137" s="16" t="s">
        <v>29</v>
      </c>
      <c r="AP137" s="16" t="s">
        <v>29</v>
      </c>
      <c r="AQ137" t="str">
        <f t="shared" si="4"/>
        <v>NA</v>
      </c>
      <c r="AR137" t="str">
        <f t="shared" si="5"/>
        <v>NA</v>
      </c>
    </row>
    <row r="138" spans="1:44" ht="14.4" x14ac:dyDescent="0.3">
      <c r="A138" s="2">
        <v>29</v>
      </c>
      <c r="B138" s="2" t="s">
        <v>58</v>
      </c>
      <c r="C138" s="3">
        <v>14</v>
      </c>
      <c r="D138" s="3">
        <v>2</v>
      </c>
      <c r="E138" s="3" t="s">
        <v>27</v>
      </c>
      <c r="F138" t="s">
        <v>29</v>
      </c>
      <c r="G138" t="s">
        <v>29</v>
      </c>
      <c r="H138" t="s">
        <v>29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P138" s="9" t="s">
        <v>29</v>
      </c>
      <c r="Q138" s="9" t="s">
        <v>29</v>
      </c>
      <c r="R138" s="9" t="s">
        <v>29</v>
      </c>
      <c r="S138" s="9" t="s">
        <v>29</v>
      </c>
      <c r="T138" s="9" t="s">
        <v>29</v>
      </c>
      <c r="U138" s="9" t="s">
        <v>29</v>
      </c>
      <c r="V138" s="16" t="s">
        <v>29</v>
      </c>
      <c r="W138" s="16" t="s">
        <v>29</v>
      </c>
      <c r="X138" s="16" t="s">
        <v>29</v>
      </c>
      <c r="Y138" s="16" t="s">
        <v>29</v>
      </c>
      <c r="AB138" s="9" t="s">
        <v>29</v>
      </c>
      <c r="AC138" s="9" t="s">
        <v>29</v>
      </c>
      <c r="AD138" s="3" t="s">
        <v>29</v>
      </c>
      <c r="AE138" s="3" t="s">
        <v>29</v>
      </c>
      <c r="AF138" s="3" t="s">
        <v>29</v>
      </c>
      <c r="AG138" s="3" t="s">
        <v>29</v>
      </c>
      <c r="AH138" s="3" t="s">
        <v>29</v>
      </c>
      <c r="AI138" s="3" t="s">
        <v>29</v>
      </c>
      <c r="AJ138" s="3" t="s">
        <v>29</v>
      </c>
      <c r="AK138" s="3" t="s">
        <v>29</v>
      </c>
      <c r="AM138" s="16" t="s">
        <v>29</v>
      </c>
      <c r="AN138" s="16" t="s">
        <v>29</v>
      </c>
      <c r="AO138" s="16" t="s">
        <v>29</v>
      </c>
      <c r="AP138" s="16" t="s">
        <v>29</v>
      </c>
      <c r="AQ138" t="str">
        <f t="shared" si="4"/>
        <v>NA</v>
      </c>
      <c r="AR138" t="str">
        <f t="shared" si="5"/>
        <v>NA</v>
      </c>
    </row>
    <row r="139" spans="1:44" ht="14.4" x14ac:dyDescent="0.3">
      <c r="A139" s="2">
        <v>29</v>
      </c>
      <c r="B139" s="2" t="s">
        <v>58</v>
      </c>
      <c r="C139" s="3">
        <v>21</v>
      </c>
      <c r="D139" s="3">
        <v>3</v>
      </c>
      <c r="E139" s="3" t="s">
        <v>27</v>
      </c>
      <c r="F139" s="3" t="s">
        <v>31</v>
      </c>
      <c r="P139" s="10">
        <v>11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3">
        <v>0</v>
      </c>
      <c r="W139" s="3">
        <v>11</v>
      </c>
      <c r="X139" s="3">
        <v>0</v>
      </c>
      <c r="Y139" s="3">
        <v>0</v>
      </c>
      <c r="AB139" s="10">
        <v>18</v>
      </c>
      <c r="AC139" s="10">
        <v>10</v>
      </c>
      <c r="AD139">
        <f>SUM(P139:U139)</f>
        <v>11</v>
      </c>
      <c r="AE139">
        <f>SUM(V139:Y139)</f>
        <v>11</v>
      </c>
      <c r="AF139">
        <f>ABS(AB139-AC139)</f>
        <v>8</v>
      </c>
      <c r="AG139">
        <f>AVERAGE(AB139:AC139)</f>
        <v>14</v>
      </c>
      <c r="AI139">
        <f>MAX(AB139:AC139)</f>
        <v>18</v>
      </c>
      <c r="AJ139">
        <f>MIN(AB139:AC139)</f>
        <v>10</v>
      </c>
      <c r="AK139" t="s">
        <v>29</v>
      </c>
      <c r="AM139" s="17">
        <f>SUM(P139,R139,T139)</f>
        <v>11</v>
      </c>
      <c r="AN139" s="17">
        <f>SUM(Q139,S139,U139)</f>
        <v>0</v>
      </c>
      <c r="AO139" s="17">
        <f>SUM(V139,X139)</f>
        <v>0</v>
      </c>
      <c r="AP139" s="17">
        <f>SUM(W139,Y139)</f>
        <v>11</v>
      </c>
      <c r="AQ139">
        <f t="shared" si="4"/>
        <v>18</v>
      </c>
      <c r="AR139">
        <f t="shared" si="5"/>
        <v>10</v>
      </c>
    </row>
    <row r="140" spans="1:44" ht="14.4" x14ac:dyDescent="0.3">
      <c r="A140" s="2">
        <v>29</v>
      </c>
      <c r="B140" s="2" t="s">
        <v>58</v>
      </c>
      <c r="C140" s="3">
        <v>28</v>
      </c>
      <c r="D140" s="3">
        <v>4</v>
      </c>
      <c r="E140" s="3" t="s">
        <v>27</v>
      </c>
      <c r="F140" s="3" t="s">
        <v>31</v>
      </c>
      <c r="P140" s="9">
        <v>5</v>
      </c>
      <c r="Q140" s="9">
        <v>3</v>
      </c>
      <c r="R140" s="9">
        <v>0</v>
      </c>
      <c r="S140" s="9">
        <v>0</v>
      </c>
      <c r="T140" s="9">
        <v>0</v>
      </c>
      <c r="U140" s="9">
        <v>0</v>
      </c>
      <c r="V140">
        <v>0</v>
      </c>
      <c r="W140">
        <v>6</v>
      </c>
      <c r="X140">
        <v>0</v>
      </c>
      <c r="Y140">
        <v>0</v>
      </c>
      <c r="AB140" s="9">
        <v>20</v>
      </c>
      <c r="AC140" s="9">
        <v>12</v>
      </c>
      <c r="AD140">
        <f>SUM(P140:U140)</f>
        <v>8</v>
      </c>
      <c r="AE140">
        <f>SUM(V140:Y140)</f>
        <v>6</v>
      </c>
      <c r="AF140">
        <f>ABS(AB140-AC140)</f>
        <v>8</v>
      </c>
      <c r="AG140">
        <f>AVERAGE(AB140:AC140)</f>
        <v>16</v>
      </c>
      <c r="AI140">
        <f>MAX(AB140:AC140)</f>
        <v>20</v>
      </c>
      <c r="AJ140">
        <f>MIN(AB140:AC140)</f>
        <v>12</v>
      </c>
      <c r="AK140" t="s">
        <v>29</v>
      </c>
      <c r="AM140" s="17">
        <f>SUM(P140,R140,T140)</f>
        <v>5</v>
      </c>
      <c r="AN140" s="17">
        <f>SUM(Q140,S140,U140)</f>
        <v>3</v>
      </c>
      <c r="AO140" s="17">
        <f>SUM(V140,X140)</f>
        <v>0</v>
      </c>
      <c r="AP140" s="17">
        <f>SUM(W140,Y140)</f>
        <v>6</v>
      </c>
      <c r="AQ140">
        <f t="shared" si="4"/>
        <v>20</v>
      </c>
      <c r="AR140">
        <f t="shared" si="5"/>
        <v>12</v>
      </c>
    </row>
    <row r="141" spans="1:44" ht="14.4" x14ac:dyDescent="0.3">
      <c r="A141" s="2">
        <v>29</v>
      </c>
      <c r="B141" s="2" t="s">
        <v>58</v>
      </c>
      <c r="C141" s="3">
        <v>35</v>
      </c>
      <c r="D141" s="3">
        <v>5</v>
      </c>
      <c r="E141" s="3" t="s">
        <v>27</v>
      </c>
      <c r="F141" s="3" t="s">
        <v>31</v>
      </c>
      <c r="P141" s="10">
        <v>6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3">
        <v>0</v>
      </c>
      <c r="W141" s="3">
        <v>6</v>
      </c>
      <c r="X141" s="3">
        <v>0</v>
      </c>
      <c r="Y141" s="3">
        <v>0</v>
      </c>
      <c r="AB141" s="10">
        <v>18</v>
      </c>
      <c r="AC141" s="10">
        <v>11</v>
      </c>
      <c r="AD141">
        <f>SUM(P141:U141)</f>
        <v>6</v>
      </c>
      <c r="AE141">
        <f>SUM(V141:Y141)</f>
        <v>6</v>
      </c>
      <c r="AF141">
        <f>ABS(AB141-AC141)</f>
        <v>7</v>
      </c>
      <c r="AG141">
        <f>AVERAGE(AB141:AC141)</f>
        <v>14.5</v>
      </c>
      <c r="AI141">
        <f>MAX(AB141:AC141)</f>
        <v>18</v>
      </c>
      <c r="AJ141">
        <f>MIN(AB141:AC141)</f>
        <v>11</v>
      </c>
      <c r="AK141" t="s">
        <v>29</v>
      </c>
      <c r="AM141" s="17">
        <f>SUM(P141,R141,T141)</f>
        <v>6</v>
      </c>
      <c r="AN141" s="17">
        <f>SUM(Q141,S141,U141)</f>
        <v>0</v>
      </c>
      <c r="AO141" s="17">
        <f>SUM(V141,X141)</f>
        <v>0</v>
      </c>
      <c r="AP141" s="17">
        <f>SUM(W141,Y141)</f>
        <v>6</v>
      </c>
      <c r="AQ141">
        <f t="shared" si="4"/>
        <v>18</v>
      </c>
      <c r="AR141">
        <f t="shared" si="5"/>
        <v>11</v>
      </c>
    </row>
    <row r="142" spans="1:44" ht="14.4" x14ac:dyDescent="0.3">
      <c r="A142" s="1">
        <v>21</v>
      </c>
      <c r="B142" s="2" t="s">
        <v>25</v>
      </c>
      <c r="C142" s="3">
        <v>7</v>
      </c>
      <c r="D142" s="3">
        <v>1</v>
      </c>
      <c r="E142" s="3" t="s">
        <v>60</v>
      </c>
      <c r="F142" s="3" t="s">
        <v>29</v>
      </c>
      <c r="G142" s="3" t="s">
        <v>29</v>
      </c>
      <c r="H142" s="3" t="s">
        <v>29</v>
      </c>
      <c r="I142" s="3" t="s">
        <v>29</v>
      </c>
      <c r="J142" s="3" t="s">
        <v>29</v>
      </c>
      <c r="K142" s="3" t="s">
        <v>29</v>
      </c>
      <c r="L142" s="3" t="s">
        <v>29</v>
      </c>
      <c r="M142" s="3" t="s">
        <v>29</v>
      </c>
      <c r="P142" s="9" t="s">
        <v>29</v>
      </c>
      <c r="Q142" s="9" t="s">
        <v>29</v>
      </c>
      <c r="R142" s="9" t="s">
        <v>29</v>
      </c>
      <c r="S142" s="9" t="s">
        <v>29</v>
      </c>
      <c r="T142" s="9" t="s">
        <v>29</v>
      </c>
      <c r="U142" s="9" t="s">
        <v>29</v>
      </c>
      <c r="V142" s="16" t="s">
        <v>29</v>
      </c>
      <c r="W142" s="16" t="s">
        <v>29</v>
      </c>
      <c r="X142" s="16" t="s">
        <v>29</v>
      </c>
      <c r="Y142" s="16" t="s">
        <v>29</v>
      </c>
      <c r="AB142" s="9" t="s">
        <v>29</v>
      </c>
      <c r="AC142" s="9" t="s">
        <v>29</v>
      </c>
      <c r="AG142" t="str">
        <f>AK142</f>
        <v>NA</v>
      </c>
      <c r="AK142" t="str">
        <f>L142</f>
        <v>NA</v>
      </c>
      <c r="AM142" s="16" t="s">
        <v>29</v>
      </c>
      <c r="AN142" s="16" t="s">
        <v>29</v>
      </c>
      <c r="AO142" s="16" t="s">
        <v>29</v>
      </c>
      <c r="AP142" s="16" t="s">
        <v>29</v>
      </c>
      <c r="AQ142" t="str">
        <f t="shared" si="4"/>
        <v>NA</v>
      </c>
      <c r="AR142" t="str">
        <f t="shared" si="5"/>
        <v>NA</v>
      </c>
    </row>
    <row r="143" spans="1:44" ht="14.4" x14ac:dyDescent="0.3">
      <c r="A143" s="1">
        <v>21</v>
      </c>
      <c r="B143" s="2" t="s">
        <v>25</v>
      </c>
      <c r="C143" s="3">
        <v>14</v>
      </c>
      <c r="D143" s="3">
        <v>2</v>
      </c>
      <c r="E143" s="3" t="s">
        <v>60</v>
      </c>
      <c r="F143" s="3" t="s">
        <v>29</v>
      </c>
      <c r="G143" s="3" t="s">
        <v>29</v>
      </c>
      <c r="H143" s="3" t="s">
        <v>29</v>
      </c>
      <c r="I143" s="3" t="s">
        <v>29</v>
      </c>
      <c r="J143" s="3" t="s">
        <v>29</v>
      </c>
      <c r="K143" s="3" t="s">
        <v>29</v>
      </c>
      <c r="L143" s="3" t="s">
        <v>29</v>
      </c>
      <c r="M143" s="3" t="s">
        <v>29</v>
      </c>
      <c r="P143" s="9" t="s">
        <v>29</v>
      </c>
      <c r="Q143" s="9" t="s">
        <v>29</v>
      </c>
      <c r="R143" s="9" t="s">
        <v>29</v>
      </c>
      <c r="S143" s="9" t="s">
        <v>29</v>
      </c>
      <c r="T143" s="9" t="s">
        <v>29</v>
      </c>
      <c r="U143" s="9" t="s">
        <v>29</v>
      </c>
      <c r="V143" s="16" t="s">
        <v>29</v>
      </c>
      <c r="W143" s="16" t="s">
        <v>29</v>
      </c>
      <c r="X143" s="16" t="s">
        <v>29</v>
      </c>
      <c r="Y143" s="16" t="s">
        <v>29</v>
      </c>
      <c r="AB143" s="9" t="s">
        <v>29</v>
      </c>
      <c r="AC143" s="9" t="s">
        <v>29</v>
      </c>
      <c r="AG143" t="str">
        <f>AK143</f>
        <v>NA</v>
      </c>
      <c r="AK143" t="str">
        <f>L143</f>
        <v>NA</v>
      </c>
      <c r="AM143" s="16" t="s">
        <v>29</v>
      </c>
      <c r="AN143" s="16" t="s">
        <v>29</v>
      </c>
      <c r="AO143" s="16" t="s">
        <v>29</v>
      </c>
      <c r="AP143" s="16" t="s">
        <v>29</v>
      </c>
      <c r="AQ143" t="str">
        <f t="shared" si="4"/>
        <v>NA</v>
      </c>
      <c r="AR143" t="str">
        <f t="shared" si="5"/>
        <v>NA</v>
      </c>
    </row>
    <row r="144" spans="1:44" ht="14.4" x14ac:dyDescent="0.3">
      <c r="A144" s="1">
        <v>21</v>
      </c>
      <c r="B144" s="2" t="s">
        <v>25</v>
      </c>
      <c r="C144" s="3">
        <v>21</v>
      </c>
      <c r="D144" s="3">
        <v>3</v>
      </c>
      <c r="E144" s="3" t="s">
        <v>60</v>
      </c>
      <c r="F144" s="3" t="s">
        <v>29</v>
      </c>
      <c r="G144" s="3" t="s">
        <v>29</v>
      </c>
      <c r="H144" s="3" t="s">
        <v>29</v>
      </c>
      <c r="I144" s="3" t="s">
        <v>29</v>
      </c>
      <c r="J144" s="3" t="s">
        <v>29</v>
      </c>
      <c r="K144" s="3" t="s">
        <v>29</v>
      </c>
      <c r="L144" s="3" t="s">
        <v>29</v>
      </c>
      <c r="M144" s="3" t="s">
        <v>29</v>
      </c>
      <c r="P144" s="9" t="s">
        <v>29</v>
      </c>
      <c r="Q144" s="9" t="s">
        <v>29</v>
      </c>
      <c r="R144" s="9" t="s">
        <v>29</v>
      </c>
      <c r="S144" s="9" t="s">
        <v>29</v>
      </c>
      <c r="T144" s="9" t="s">
        <v>29</v>
      </c>
      <c r="U144" s="9" t="s">
        <v>29</v>
      </c>
      <c r="V144" s="16" t="s">
        <v>29</v>
      </c>
      <c r="W144" s="16" t="s">
        <v>29</v>
      </c>
      <c r="X144" s="16" t="s">
        <v>29</v>
      </c>
      <c r="Y144" s="16" t="s">
        <v>29</v>
      </c>
      <c r="AB144" s="9" t="s">
        <v>29</v>
      </c>
      <c r="AC144" s="9" t="s">
        <v>29</v>
      </c>
      <c r="AG144" t="str">
        <f>AK144</f>
        <v>NA</v>
      </c>
      <c r="AK144" t="str">
        <f>L144</f>
        <v>NA</v>
      </c>
      <c r="AM144" s="16" t="s">
        <v>29</v>
      </c>
      <c r="AN144" s="16" t="s">
        <v>29</v>
      </c>
      <c r="AO144" s="16" t="s">
        <v>29</v>
      </c>
      <c r="AP144" s="16" t="s">
        <v>29</v>
      </c>
      <c r="AQ144" t="str">
        <f t="shared" si="4"/>
        <v>NA</v>
      </c>
      <c r="AR144" t="str">
        <f t="shared" si="5"/>
        <v>NA</v>
      </c>
    </row>
    <row r="145" spans="1:44" ht="14.4" x14ac:dyDescent="0.3">
      <c r="A145" s="1">
        <v>21</v>
      </c>
      <c r="B145" s="2" t="s">
        <v>25</v>
      </c>
      <c r="C145" s="3">
        <v>28</v>
      </c>
      <c r="D145" s="3">
        <v>4</v>
      </c>
      <c r="E145" s="3" t="s">
        <v>60</v>
      </c>
      <c r="F145" s="3" t="s">
        <v>29</v>
      </c>
      <c r="G145" s="3" t="s">
        <v>29</v>
      </c>
      <c r="H145" s="3" t="s">
        <v>29</v>
      </c>
      <c r="I145" s="3" t="s">
        <v>29</v>
      </c>
      <c r="J145" s="3" t="s">
        <v>29</v>
      </c>
      <c r="K145" s="3" t="s">
        <v>29</v>
      </c>
      <c r="L145" s="3" t="s">
        <v>29</v>
      </c>
      <c r="M145" s="3" t="s">
        <v>29</v>
      </c>
      <c r="P145" s="9" t="s">
        <v>29</v>
      </c>
      <c r="Q145" s="9" t="s">
        <v>29</v>
      </c>
      <c r="R145" s="9" t="s">
        <v>29</v>
      </c>
      <c r="S145" s="9" t="s">
        <v>29</v>
      </c>
      <c r="T145" s="9" t="s">
        <v>29</v>
      </c>
      <c r="U145" s="9" t="s">
        <v>29</v>
      </c>
      <c r="V145" s="16" t="s">
        <v>29</v>
      </c>
      <c r="W145" s="16" t="s">
        <v>29</v>
      </c>
      <c r="X145" s="16" t="s">
        <v>29</v>
      </c>
      <c r="Y145" s="16" t="s">
        <v>29</v>
      </c>
      <c r="AB145" s="9" t="s">
        <v>29</v>
      </c>
      <c r="AC145" s="9" t="s">
        <v>29</v>
      </c>
      <c r="AG145" t="str">
        <f>AK145</f>
        <v>NA</v>
      </c>
      <c r="AK145" t="str">
        <f>L145</f>
        <v>NA</v>
      </c>
      <c r="AM145" s="16" t="s">
        <v>29</v>
      </c>
      <c r="AN145" s="16" t="s">
        <v>29</v>
      </c>
      <c r="AO145" s="16" t="s">
        <v>29</v>
      </c>
      <c r="AP145" s="16" t="s">
        <v>29</v>
      </c>
      <c r="AQ145" t="str">
        <f t="shared" si="4"/>
        <v>NA</v>
      </c>
      <c r="AR145" t="str">
        <f t="shared" si="5"/>
        <v>NA</v>
      </c>
    </row>
    <row r="146" spans="1:44" ht="14.4" x14ac:dyDescent="0.3">
      <c r="A146" s="1">
        <v>21</v>
      </c>
      <c r="B146" s="2" t="s">
        <v>25</v>
      </c>
      <c r="C146" s="3">
        <v>35</v>
      </c>
      <c r="D146" s="3">
        <v>5</v>
      </c>
      <c r="E146" s="3" t="s">
        <v>60</v>
      </c>
      <c r="F146" s="3" t="s">
        <v>29</v>
      </c>
      <c r="G146" s="3" t="s">
        <v>29</v>
      </c>
      <c r="H146" s="3" t="s">
        <v>29</v>
      </c>
      <c r="I146" s="3" t="s">
        <v>29</v>
      </c>
      <c r="J146" s="3" t="s">
        <v>29</v>
      </c>
      <c r="K146" s="3" t="s">
        <v>29</v>
      </c>
      <c r="L146" s="3" t="s">
        <v>29</v>
      </c>
      <c r="M146" s="3" t="s">
        <v>29</v>
      </c>
      <c r="P146" s="9" t="s">
        <v>29</v>
      </c>
      <c r="Q146" s="9" t="s">
        <v>29</v>
      </c>
      <c r="R146" s="9" t="s">
        <v>29</v>
      </c>
      <c r="S146" s="9" t="s">
        <v>29</v>
      </c>
      <c r="T146" s="9" t="s">
        <v>29</v>
      </c>
      <c r="U146" s="9" t="s">
        <v>29</v>
      </c>
      <c r="V146" s="16" t="s">
        <v>29</v>
      </c>
      <c r="W146" s="16" t="s">
        <v>29</v>
      </c>
      <c r="X146" s="16" t="s">
        <v>29</v>
      </c>
      <c r="Y146" s="16" t="s">
        <v>29</v>
      </c>
      <c r="AB146" s="9" t="s">
        <v>29</v>
      </c>
      <c r="AC146" s="9" t="s">
        <v>29</v>
      </c>
      <c r="AG146" t="str">
        <f>AK146</f>
        <v>NA</v>
      </c>
      <c r="AK146" t="str">
        <f>L146</f>
        <v>NA</v>
      </c>
      <c r="AM146" s="16" t="s">
        <v>29</v>
      </c>
      <c r="AN146" s="16" t="s">
        <v>29</v>
      </c>
      <c r="AO146" s="16" t="s">
        <v>29</v>
      </c>
      <c r="AP146" s="16" t="s">
        <v>29</v>
      </c>
      <c r="AQ146" t="str">
        <f t="shared" si="4"/>
        <v>NA</v>
      </c>
      <c r="AR146" t="str">
        <f t="shared" si="5"/>
        <v>NA</v>
      </c>
    </row>
    <row r="147" spans="1:44" ht="14.4" x14ac:dyDescent="0.3">
      <c r="A147" s="2">
        <v>8</v>
      </c>
      <c r="B147" s="2" t="s">
        <v>67</v>
      </c>
      <c r="C147" s="3">
        <v>7</v>
      </c>
      <c r="D147" s="3">
        <v>1</v>
      </c>
      <c r="E147" s="3" t="s">
        <v>60</v>
      </c>
      <c r="F147" s="3" t="s">
        <v>29</v>
      </c>
      <c r="G147" s="3" t="s">
        <v>29</v>
      </c>
      <c r="H147" s="3" t="s">
        <v>29</v>
      </c>
      <c r="I147" s="3" t="s">
        <v>29</v>
      </c>
      <c r="J147" s="3" t="s">
        <v>29</v>
      </c>
      <c r="K147" s="3" t="s">
        <v>29</v>
      </c>
      <c r="L147" s="3" t="s">
        <v>29</v>
      </c>
      <c r="M147" s="3" t="s">
        <v>29</v>
      </c>
      <c r="P147" s="9" t="s">
        <v>29</v>
      </c>
      <c r="Q147" s="9" t="s">
        <v>29</v>
      </c>
      <c r="R147" s="9" t="s">
        <v>29</v>
      </c>
      <c r="S147" s="9" t="s">
        <v>29</v>
      </c>
      <c r="T147" s="9" t="s">
        <v>29</v>
      </c>
      <c r="U147" s="9" t="s">
        <v>29</v>
      </c>
      <c r="V147" s="16" t="s">
        <v>29</v>
      </c>
      <c r="W147" s="16" t="s">
        <v>29</v>
      </c>
      <c r="X147" s="16" t="s">
        <v>29</v>
      </c>
      <c r="Y147" s="16" t="s">
        <v>29</v>
      </c>
      <c r="AB147" s="9" t="s">
        <v>29</v>
      </c>
      <c r="AC147" s="9" t="s">
        <v>29</v>
      </c>
      <c r="AG147" t="str">
        <f>AK147</f>
        <v>NA</v>
      </c>
      <c r="AK147" t="str">
        <f>L147</f>
        <v>NA</v>
      </c>
      <c r="AM147" s="16" t="s">
        <v>29</v>
      </c>
      <c r="AN147" s="16" t="s">
        <v>29</v>
      </c>
      <c r="AO147" s="16" t="s">
        <v>29</v>
      </c>
      <c r="AP147" s="16" t="s">
        <v>29</v>
      </c>
      <c r="AQ147" t="str">
        <f t="shared" si="4"/>
        <v>NA</v>
      </c>
      <c r="AR147" t="str">
        <f t="shared" si="5"/>
        <v>NA</v>
      </c>
    </row>
    <row r="148" spans="1:44" ht="14.4" x14ac:dyDescent="0.3">
      <c r="A148" s="2">
        <v>8</v>
      </c>
      <c r="B148" s="2" t="s">
        <v>67</v>
      </c>
      <c r="C148" s="3">
        <v>14</v>
      </c>
      <c r="D148" s="3">
        <v>2</v>
      </c>
      <c r="E148" s="3" t="s">
        <v>60</v>
      </c>
      <c r="F148" s="3" t="s">
        <v>29</v>
      </c>
      <c r="G148" s="3" t="s">
        <v>29</v>
      </c>
      <c r="H148" s="3" t="s">
        <v>29</v>
      </c>
      <c r="I148" s="3" t="s">
        <v>29</v>
      </c>
      <c r="J148" s="3" t="s">
        <v>29</v>
      </c>
      <c r="K148" s="3" t="s">
        <v>29</v>
      </c>
      <c r="L148" s="3">
        <v>15</v>
      </c>
      <c r="M148" s="3" t="s">
        <v>29</v>
      </c>
      <c r="P148" s="9" t="s">
        <v>29</v>
      </c>
      <c r="Q148" s="9" t="s">
        <v>29</v>
      </c>
      <c r="R148" s="9" t="s">
        <v>29</v>
      </c>
      <c r="S148" s="9" t="s">
        <v>29</v>
      </c>
      <c r="T148" s="9" t="s">
        <v>29</v>
      </c>
      <c r="U148" s="9" t="s">
        <v>29</v>
      </c>
      <c r="V148" s="16" t="s">
        <v>29</v>
      </c>
      <c r="W148" s="16" t="s">
        <v>29</v>
      </c>
      <c r="X148" s="16" t="s">
        <v>29</v>
      </c>
      <c r="Y148" s="16" t="s">
        <v>29</v>
      </c>
      <c r="AB148" s="9" t="s">
        <v>29</v>
      </c>
      <c r="AC148" s="9" t="s">
        <v>29</v>
      </c>
      <c r="AG148">
        <f>AK148</f>
        <v>15</v>
      </c>
      <c r="AK148">
        <f>L148</f>
        <v>15</v>
      </c>
      <c r="AM148" s="16" t="s">
        <v>29</v>
      </c>
      <c r="AN148" s="16" t="s">
        <v>29</v>
      </c>
      <c r="AO148" s="16" t="s">
        <v>29</v>
      </c>
      <c r="AP148" s="16" t="s">
        <v>29</v>
      </c>
      <c r="AQ148" t="str">
        <f t="shared" si="4"/>
        <v>NA</v>
      </c>
      <c r="AR148" t="str">
        <f t="shared" si="5"/>
        <v>NA</v>
      </c>
    </row>
    <row r="149" spans="1:44" ht="14.4" x14ac:dyDescent="0.3">
      <c r="A149" s="2">
        <v>8</v>
      </c>
      <c r="B149" s="2" t="s">
        <v>67</v>
      </c>
      <c r="C149" s="3">
        <v>21</v>
      </c>
      <c r="D149" s="3">
        <v>3</v>
      </c>
      <c r="E149" s="3" t="s">
        <v>60</v>
      </c>
      <c r="F149" s="3" t="s">
        <v>29</v>
      </c>
      <c r="G149" s="3" t="s">
        <v>29</v>
      </c>
      <c r="H149" s="3" t="s">
        <v>29</v>
      </c>
      <c r="I149" s="3" t="s">
        <v>29</v>
      </c>
      <c r="J149" s="3" t="s">
        <v>29</v>
      </c>
      <c r="K149" s="3" t="s">
        <v>29</v>
      </c>
      <c r="L149" s="3">
        <v>10</v>
      </c>
      <c r="M149" s="3" t="s">
        <v>29</v>
      </c>
      <c r="P149" s="9" t="s">
        <v>29</v>
      </c>
      <c r="Q149" s="9" t="s">
        <v>29</v>
      </c>
      <c r="R149" s="9" t="s">
        <v>29</v>
      </c>
      <c r="S149" s="9" t="s">
        <v>29</v>
      </c>
      <c r="T149" s="9" t="s">
        <v>29</v>
      </c>
      <c r="U149" s="9" t="s">
        <v>29</v>
      </c>
      <c r="V149" s="16" t="s">
        <v>29</v>
      </c>
      <c r="W149" s="16" t="s">
        <v>29</v>
      </c>
      <c r="X149" s="16" t="s">
        <v>29</v>
      </c>
      <c r="Y149" s="16" t="s">
        <v>29</v>
      </c>
      <c r="AB149" s="9" t="s">
        <v>29</v>
      </c>
      <c r="AC149" s="9" t="s">
        <v>29</v>
      </c>
      <c r="AG149">
        <f>AK149</f>
        <v>10</v>
      </c>
      <c r="AK149">
        <f>L149</f>
        <v>10</v>
      </c>
      <c r="AM149" s="16" t="s">
        <v>29</v>
      </c>
      <c r="AN149" s="16" t="s">
        <v>29</v>
      </c>
      <c r="AO149" s="16" t="s">
        <v>29</v>
      </c>
      <c r="AP149" s="16" t="s">
        <v>29</v>
      </c>
      <c r="AQ149" t="str">
        <f t="shared" si="4"/>
        <v>NA</v>
      </c>
      <c r="AR149" t="str">
        <f t="shared" si="5"/>
        <v>NA</v>
      </c>
    </row>
    <row r="150" spans="1:44" ht="14.4" x14ac:dyDescent="0.3">
      <c r="A150" s="2">
        <v>8</v>
      </c>
      <c r="B150" s="2" t="s">
        <v>67</v>
      </c>
      <c r="C150" s="3">
        <v>28</v>
      </c>
      <c r="D150" s="3">
        <v>4</v>
      </c>
      <c r="E150" s="3" t="s">
        <v>60</v>
      </c>
      <c r="F150" s="3" t="s">
        <v>29</v>
      </c>
      <c r="G150" s="3" t="s">
        <v>29</v>
      </c>
      <c r="H150" s="3" t="s">
        <v>29</v>
      </c>
      <c r="I150" s="3" t="s">
        <v>29</v>
      </c>
      <c r="J150" s="3" t="s">
        <v>29</v>
      </c>
      <c r="K150" s="3" t="s">
        <v>29</v>
      </c>
      <c r="L150" s="3">
        <v>10</v>
      </c>
      <c r="M150" s="3" t="s">
        <v>29</v>
      </c>
      <c r="P150" s="9" t="s">
        <v>29</v>
      </c>
      <c r="Q150" s="9" t="s">
        <v>29</v>
      </c>
      <c r="R150" s="9" t="s">
        <v>29</v>
      </c>
      <c r="S150" s="9" t="s">
        <v>29</v>
      </c>
      <c r="T150" s="9" t="s">
        <v>29</v>
      </c>
      <c r="U150" s="9" t="s">
        <v>29</v>
      </c>
      <c r="V150" s="16" t="s">
        <v>29</v>
      </c>
      <c r="W150" s="16" t="s">
        <v>29</v>
      </c>
      <c r="X150" s="16" t="s">
        <v>29</v>
      </c>
      <c r="Y150" s="16" t="s">
        <v>29</v>
      </c>
      <c r="AB150" s="9" t="s">
        <v>29</v>
      </c>
      <c r="AC150" s="9" t="s">
        <v>29</v>
      </c>
      <c r="AG150">
        <f>AK150</f>
        <v>10</v>
      </c>
      <c r="AK150">
        <f>L150</f>
        <v>10</v>
      </c>
      <c r="AM150" s="16" t="s">
        <v>29</v>
      </c>
      <c r="AN150" s="16" t="s">
        <v>29</v>
      </c>
      <c r="AO150" s="16" t="s">
        <v>29</v>
      </c>
      <c r="AP150" s="16" t="s">
        <v>29</v>
      </c>
      <c r="AQ150" t="str">
        <f t="shared" si="4"/>
        <v>NA</v>
      </c>
      <c r="AR150" t="str">
        <f t="shared" si="5"/>
        <v>NA</v>
      </c>
    </row>
    <row r="151" spans="1:44" ht="14.4" x14ac:dyDescent="0.3">
      <c r="A151" s="2">
        <v>8</v>
      </c>
      <c r="B151" s="2" t="s">
        <v>67</v>
      </c>
      <c r="C151" s="3">
        <v>35</v>
      </c>
      <c r="D151" s="3">
        <v>5</v>
      </c>
      <c r="E151" s="3" t="s">
        <v>60</v>
      </c>
      <c r="F151" s="3" t="s">
        <v>29</v>
      </c>
      <c r="G151" s="3" t="s">
        <v>29</v>
      </c>
      <c r="H151" s="3" t="s">
        <v>29</v>
      </c>
      <c r="I151" s="3" t="s">
        <v>29</v>
      </c>
      <c r="J151" s="3" t="s">
        <v>29</v>
      </c>
      <c r="K151" s="3" t="s">
        <v>29</v>
      </c>
      <c r="L151" s="3">
        <v>14</v>
      </c>
      <c r="M151" s="3" t="s">
        <v>29</v>
      </c>
      <c r="P151" s="9" t="s">
        <v>29</v>
      </c>
      <c r="Q151" s="9" t="s">
        <v>29</v>
      </c>
      <c r="R151" s="9" t="s">
        <v>29</v>
      </c>
      <c r="S151" s="9" t="s">
        <v>29</v>
      </c>
      <c r="T151" s="9" t="s">
        <v>29</v>
      </c>
      <c r="U151" s="9" t="s">
        <v>29</v>
      </c>
      <c r="V151" s="16" t="s">
        <v>29</v>
      </c>
      <c r="W151" s="16" t="s">
        <v>29</v>
      </c>
      <c r="X151" s="16" t="s">
        <v>29</v>
      </c>
      <c r="Y151" s="16" t="s">
        <v>29</v>
      </c>
      <c r="AB151" s="9" t="s">
        <v>29</v>
      </c>
      <c r="AC151" s="9" t="s">
        <v>29</v>
      </c>
      <c r="AG151">
        <f>AK151</f>
        <v>14</v>
      </c>
      <c r="AK151">
        <f>L151</f>
        <v>14</v>
      </c>
      <c r="AM151" s="16" t="s">
        <v>29</v>
      </c>
      <c r="AN151" s="16" t="s">
        <v>29</v>
      </c>
      <c r="AO151" s="16" t="s">
        <v>29</v>
      </c>
      <c r="AP151" s="16" t="s">
        <v>29</v>
      </c>
      <c r="AQ151" t="str">
        <f t="shared" si="4"/>
        <v>NA</v>
      </c>
      <c r="AR151" t="str">
        <f t="shared" si="5"/>
        <v>NA</v>
      </c>
    </row>
    <row r="152" spans="1:44" ht="14.4" x14ac:dyDescent="0.3">
      <c r="A152" s="2">
        <v>23</v>
      </c>
      <c r="B152" s="2" t="s">
        <v>59</v>
      </c>
      <c r="C152" s="3">
        <v>7</v>
      </c>
      <c r="D152" s="3">
        <v>1</v>
      </c>
      <c r="E152" s="3" t="s">
        <v>60</v>
      </c>
      <c r="F152" s="3" t="s">
        <v>29</v>
      </c>
      <c r="G152" s="3" t="s">
        <v>29</v>
      </c>
      <c r="H152" s="3" t="s">
        <v>29</v>
      </c>
      <c r="I152" s="3" t="s">
        <v>29</v>
      </c>
      <c r="J152" s="3" t="s">
        <v>29</v>
      </c>
      <c r="K152" s="3" t="s">
        <v>29</v>
      </c>
      <c r="L152" s="3" t="s">
        <v>29</v>
      </c>
      <c r="M152" s="3" t="s">
        <v>29</v>
      </c>
      <c r="P152" s="9" t="s">
        <v>29</v>
      </c>
      <c r="Q152" s="9" t="s">
        <v>29</v>
      </c>
      <c r="R152" s="9" t="s">
        <v>29</v>
      </c>
      <c r="S152" s="9" t="s">
        <v>29</v>
      </c>
      <c r="T152" s="9" t="s">
        <v>29</v>
      </c>
      <c r="U152" s="9" t="s">
        <v>29</v>
      </c>
      <c r="V152" s="16" t="s">
        <v>29</v>
      </c>
      <c r="W152" s="16" t="s">
        <v>29</v>
      </c>
      <c r="X152" s="16" t="s">
        <v>29</v>
      </c>
      <c r="Y152" s="16" t="s">
        <v>29</v>
      </c>
      <c r="AB152" s="9" t="s">
        <v>29</v>
      </c>
      <c r="AC152" s="9" t="s">
        <v>29</v>
      </c>
      <c r="AG152" t="str">
        <f>AK152</f>
        <v>NA</v>
      </c>
      <c r="AK152" t="str">
        <f>L152</f>
        <v>NA</v>
      </c>
      <c r="AM152" s="16" t="s">
        <v>29</v>
      </c>
      <c r="AN152" s="16" t="s">
        <v>29</v>
      </c>
      <c r="AO152" s="16" t="s">
        <v>29</v>
      </c>
      <c r="AP152" s="16" t="s">
        <v>29</v>
      </c>
      <c r="AQ152" t="str">
        <f t="shared" si="4"/>
        <v>NA</v>
      </c>
      <c r="AR152" t="str">
        <f t="shared" si="5"/>
        <v>NA</v>
      </c>
    </row>
    <row r="153" spans="1:44" ht="14.4" x14ac:dyDescent="0.3">
      <c r="A153" s="2">
        <v>23</v>
      </c>
      <c r="B153" s="2" t="s">
        <v>59</v>
      </c>
      <c r="C153" s="3">
        <v>14</v>
      </c>
      <c r="D153" s="3">
        <v>2</v>
      </c>
      <c r="E153" s="3" t="s">
        <v>60</v>
      </c>
      <c r="F153" s="3" t="s">
        <v>29</v>
      </c>
      <c r="G153" s="3" t="s">
        <v>29</v>
      </c>
      <c r="H153" s="3" t="s">
        <v>29</v>
      </c>
      <c r="I153" s="3" t="s">
        <v>29</v>
      </c>
      <c r="J153" s="3" t="s">
        <v>29</v>
      </c>
      <c r="K153" s="3" t="s">
        <v>29</v>
      </c>
      <c r="L153" s="3">
        <v>12</v>
      </c>
      <c r="M153" s="3" t="s">
        <v>29</v>
      </c>
      <c r="P153" s="9" t="s">
        <v>29</v>
      </c>
      <c r="Q153" s="9" t="s">
        <v>29</v>
      </c>
      <c r="R153" s="9" t="s">
        <v>29</v>
      </c>
      <c r="S153" s="9" t="s">
        <v>29</v>
      </c>
      <c r="T153" s="9" t="s">
        <v>29</v>
      </c>
      <c r="U153" s="9" t="s">
        <v>29</v>
      </c>
      <c r="V153" s="16" t="s">
        <v>29</v>
      </c>
      <c r="W153" s="16" t="s">
        <v>29</v>
      </c>
      <c r="X153" s="16" t="s">
        <v>29</v>
      </c>
      <c r="Y153" s="16" t="s">
        <v>29</v>
      </c>
      <c r="AB153" s="9" t="s">
        <v>29</v>
      </c>
      <c r="AC153" s="9" t="s">
        <v>29</v>
      </c>
      <c r="AG153">
        <f>AK153</f>
        <v>12</v>
      </c>
      <c r="AK153">
        <f>L153</f>
        <v>12</v>
      </c>
      <c r="AM153" s="16" t="s">
        <v>29</v>
      </c>
      <c r="AN153" s="16" t="s">
        <v>29</v>
      </c>
      <c r="AO153" s="16" t="s">
        <v>29</v>
      </c>
      <c r="AP153" s="16" t="s">
        <v>29</v>
      </c>
      <c r="AQ153" t="str">
        <f t="shared" si="4"/>
        <v>NA</v>
      </c>
      <c r="AR153" t="str">
        <f t="shared" si="5"/>
        <v>NA</v>
      </c>
    </row>
    <row r="154" spans="1:44" ht="14.4" x14ac:dyDescent="0.3">
      <c r="A154" s="2">
        <v>23</v>
      </c>
      <c r="B154" s="2" t="s">
        <v>59</v>
      </c>
      <c r="C154" s="3">
        <v>21</v>
      </c>
      <c r="D154" s="3">
        <v>3</v>
      </c>
      <c r="E154" s="3" t="s">
        <v>60</v>
      </c>
      <c r="F154" s="3" t="s">
        <v>29</v>
      </c>
      <c r="G154" s="3" t="s">
        <v>29</v>
      </c>
      <c r="H154" s="3" t="s">
        <v>29</v>
      </c>
      <c r="I154" s="3" t="s">
        <v>29</v>
      </c>
      <c r="J154" s="3" t="s">
        <v>29</v>
      </c>
      <c r="K154" s="3" t="s">
        <v>29</v>
      </c>
      <c r="L154" s="3">
        <v>12</v>
      </c>
      <c r="M154" s="3" t="s">
        <v>29</v>
      </c>
      <c r="P154" s="9" t="s">
        <v>29</v>
      </c>
      <c r="Q154" s="9" t="s">
        <v>29</v>
      </c>
      <c r="R154" s="9" t="s">
        <v>29</v>
      </c>
      <c r="S154" s="9" t="s">
        <v>29</v>
      </c>
      <c r="T154" s="9" t="s">
        <v>29</v>
      </c>
      <c r="U154" s="9" t="s">
        <v>29</v>
      </c>
      <c r="V154" s="16" t="s">
        <v>29</v>
      </c>
      <c r="W154" s="16" t="s">
        <v>29</v>
      </c>
      <c r="X154" s="16" t="s">
        <v>29</v>
      </c>
      <c r="Y154" s="16" t="s">
        <v>29</v>
      </c>
      <c r="AB154" s="9" t="s">
        <v>29</v>
      </c>
      <c r="AC154" s="9" t="s">
        <v>29</v>
      </c>
      <c r="AG154">
        <f>AK154</f>
        <v>12</v>
      </c>
      <c r="AK154">
        <f>L154</f>
        <v>12</v>
      </c>
      <c r="AM154" s="16" t="s">
        <v>29</v>
      </c>
      <c r="AN154" s="16" t="s">
        <v>29</v>
      </c>
      <c r="AO154" s="16" t="s">
        <v>29</v>
      </c>
      <c r="AP154" s="16" t="s">
        <v>29</v>
      </c>
      <c r="AQ154" t="str">
        <f t="shared" si="4"/>
        <v>NA</v>
      </c>
      <c r="AR154" t="str">
        <f t="shared" si="5"/>
        <v>NA</v>
      </c>
    </row>
    <row r="155" spans="1:44" ht="14.4" x14ac:dyDescent="0.3">
      <c r="A155" s="2">
        <v>23</v>
      </c>
      <c r="B155" s="2" t="s">
        <v>59</v>
      </c>
      <c r="C155" s="3">
        <v>28</v>
      </c>
      <c r="D155" s="3">
        <v>4</v>
      </c>
      <c r="E155" s="3" t="s">
        <v>60</v>
      </c>
      <c r="F155" s="3" t="s">
        <v>29</v>
      </c>
      <c r="G155" s="3" t="s">
        <v>29</v>
      </c>
      <c r="H155" s="3" t="s">
        <v>29</v>
      </c>
      <c r="I155" s="3" t="s">
        <v>29</v>
      </c>
      <c r="J155" s="3" t="s">
        <v>29</v>
      </c>
      <c r="K155" s="3" t="s">
        <v>29</v>
      </c>
      <c r="L155" s="3">
        <v>7</v>
      </c>
      <c r="M155" s="3" t="s">
        <v>29</v>
      </c>
      <c r="P155" s="9" t="s">
        <v>29</v>
      </c>
      <c r="Q155" s="9" t="s">
        <v>29</v>
      </c>
      <c r="R155" s="9" t="s">
        <v>29</v>
      </c>
      <c r="S155" s="9" t="s">
        <v>29</v>
      </c>
      <c r="T155" s="9" t="s">
        <v>29</v>
      </c>
      <c r="U155" s="9" t="s">
        <v>29</v>
      </c>
      <c r="V155" s="16" t="s">
        <v>29</v>
      </c>
      <c r="W155" s="16" t="s">
        <v>29</v>
      </c>
      <c r="X155" s="16" t="s">
        <v>29</v>
      </c>
      <c r="Y155" s="16" t="s">
        <v>29</v>
      </c>
      <c r="AB155" s="9" t="s">
        <v>29</v>
      </c>
      <c r="AC155" s="9" t="s">
        <v>29</v>
      </c>
      <c r="AG155">
        <f>AK155</f>
        <v>7</v>
      </c>
      <c r="AK155">
        <f>L155</f>
        <v>7</v>
      </c>
      <c r="AM155" s="16" t="s">
        <v>29</v>
      </c>
      <c r="AN155" s="16" t="s">
        <v>29</v>
      </c>
      <c r="AO155" s="16" t="s">
        <v>29</v>
      </c>
      <c r="AP155" s="16" t="s">
        <v>29</v>
      </c>
      <c r="AQ155" t="str">
        <f t="shared" si="4"/>
        <v>NA</v>
      </c>
      <c r="AR155" t="str">
        <f t="shared" si="5"/>
        <v>NA</v>
      </c>
    </row>
    <row r="156" spans="1:44" ht="14.4" x14ac:dyDescent="0.3">
      <c r="A156" s="2">
        <v>23</v>
      </c>
      <c r="B156" s="2" t="s">
        <v>59</v>
      </c>
      <c r="C156" s="3">
        <v>35</v>
      </c>
      <c r="D156" s="3">
        <v>5</v>
      </c>
      <c r="E156" s="3" t="s">
        <v>60</v>
      </c>
      <c r="F156" s="3" t="s">
        <v>29</v>
      </c>
      <c r="G156" s="3" t="s">
        <v>29</v>
      </c>
      <c r="H156" s="3" t="s">
        <v>29</v>
      </c>
      <c r="I156" s="3" t="s">
        <v>29</v>
      </c>
      <c r="J156" s="3" t="s">
        <v>29</v>
      </c>
      <c r="K156" s="3" t="s">
        <v>29</v>
      </c>
      <c r="L156" s="3">
        <v>16</v>
      </c>
      <c r="M156" s="3" t="s">
        <v>29</v>
      </c>
      <c r="P156" s="9" t="s">
        <v>29</v>
      </c>
      <c r="Q156" s="9" t="s">
        <v>29</v>
      </c>
      <c r="R156" s="9" t="s">
        <v>29</v>
      </c>
      <c r="S156" s="9" t="s">
        <v>29</v>
      </c>
      <c r="T156" s="9" t="s">
        <v>29</v>
      </c>
      <c r="U156" s="9" t="s">
        <v>29</v>
      </c>
      <c r="V156" s="16" t="s">
        <v>29</v>
      </c>
      <c r="W156" s="16" t="s">
        <v>29</v>
      </c>
      <c r="X156" s="16" t="s">
        <v>29</v>
      </c>
      <c r="Y156" s="16" t="s">
        <v>29</v>
      </c>
      <c r="AB156" s="9" t="s">
        <v>29</v>
      </c>
      <c r="AC156" s="9" t="s">
        <v>29</v>
      </c>
      <c r="AG156">
        <f>AK156</f>
        <v>16</v>
      </c>
      <c r="AK156">
        <f>L156</f>
        <v>16</v>
      </c>
      <c r="AM156" s="16" t="s">
        <v>29</v>
      </c>
      <c r="AN156" s="16" t="s">
        <v>29</v>
      </c>
      <c r="AO156" s="16" t="s">
        <v>29</v>
      </c>
      <c r="AP156" s="16" t="s">
        <v>29</v>
      </c>
      <c r="AQ156" t="str">
        <f t="shared" si="4"/>
        <v>NA</v>
      </c>
      <c r="AR156" t="str">
        <f t="shared" si="5"/>
        <v>NA</v>
      </c>
    </row>
    <row r="157" spans="1:44" ht="14.4" x14ac:dyDescent="0.3">
      <c r="A157" s="7">
        <v>22</v>
      </c>
      <c r="B157" s="8" t="s">
        <v>77</v>
      </c>
      <c r="C157" s="3">
        <v>7</v>
      </c>
      <c r="D157" s="3">
        <v>1</v>
      </c>
      <c r="E157" s="3" t="s">
        <v>60</v>
      </c>
      <c r="F157" s="3" t="s">
        <v>29</v>
      </c>
      <c r="G157" s="3" t="s">
        <v>29</v>
      </c>
      <c r="H157" s="3" t="s">
        <v>29</v>
      </c>
      <c r="I157" s="3" t="s">
        <v>29</v>
      </c>
      <c r="J157" s="3" t="s">
        <v>29</v>
      </c>
      <c r="K157" s="3" t="s">
        <v>29</v>
      </c>
      <c r="L157" s="3" t="s">
        <v>29</v>
      </c>
      <c r="M157" s="3" t="s">
        <v>29</v>
      </c>
      <c r="P157" s="9" t="s">
        <v>29</v>
      </c>
      <c r="Q157" s="9" t="s">
        <v>29</v>
      </c>
      <c r="R157" s="9" t="s">
        <v>29</v>
      </c>
      <c r="S157" s="9" t="s">
        <v>29</v>
      </c>
      <c r="T157" s="9" t="s">
        <v>29</v>
      </c>
      <c r="U157" s="9" t="s">
        <v>29</v>
      </c>
      <c r="V157" s="16" t="s">
        <v>29</v>
      </c>
      <c r="W157" s="16" t="s">
        <v>29</v>
      </c>
      <c r="X157" s="16" t="s">
        <v>29</v>
      </c>
      <c r="Y157" s="16" t="s">
        <v>29</v>
      </c>
      <c r="AB157" s="9" t="s">
        <v>29</v>
      </c>
      <c r="AC157" s="9" t="s">
        <v>29</v>
      </c>
      <c r="AG157" t="str">
        <f>AK157</f>
        <v>NA</v>
      </c>
      <c r="AK157" t="str">
        <f>L157</f>
        <v>NA</v>
      </c>
      <c r="AM157" s="16" t="s">
        <v>29</v>
      </c>
      <c r="AN157" s="16" t="s">
        <v>29</v>
      </c>
      <c r="AO157" s="16" t="s">
        <v>29</v>
      </c>
      <c r="AP157" s="16" t="s">
        <v>29</v>
      </c>
      <c r="AQ157" t="str">
        <f t="shared" si="4"/>
        <v>NA</v>
      </c>
      <c r="AR157" t="str">
        <f t="shared" si="5"/>
        <v>NA</v>
      </c>
    </row>
    <row r="158" spans="1:44" ht="14.4" x14ac:dyDescent="0.3">
      <c r="A158" s="2">
        <v>22</v>
      </c>
      <c r="B158" s="2" t="s">
        <v>77</v>
      </c>
      <c r="C158" s="3">
        <v>14</v>
      </c>
      <c r="D158" s="3">
        <v>2</v>
      </c>
      <c r="E158" s="3" t="s">
        <v>60</v>
      </c>
      <c r="F158" s="3" t="s">
        <v>29</v>
      </c>
      <c r="G158" s="3" t="s">
        <v>29</v>
      </c>
      <c r="H158" s="3" t="s">
        <v>29</v>
      </c>
      <c r="I158" s="3" t="s">
        <v>29</v>
      </c>
      <c r="J158" s="3" t="s">
        <v>29</v>
      </c>
      <c r="K158" s="3" t="s">
        <v>29</v>
      </c>
      <c r="L158" s="3">
        <v>4</v>
      </c>
      <c r="M158" s="3" t="s">
        <v>29</v>
      </c>
      <c r="P158" s="9" t="s">
        <v>29</v>
      </c>
      <c r="Q158" s="9" t="s">
        <v>29</v>
      </c>
      <c r="R158" s="9" t="s">
        <v>29</v>
      </c>
      <c r="S158" s="9" t="s">
        <v>29</v>
      </c>
      <c r="T158" s="9" t="s">
        <v>29</v>
      </c>
      <c r="U158" s="9" t="s">
        <v>29</v>
      </c>
      <c r="V158" s="16" t="s">
        <v>29</v>
      </c>
      <c r="W158" s="16" t="s">
        <v>29</v>
      </c>
      <c r="X158" s="16" t="s">
        <v>29</v>
      </c>
      <c r="Y158" s="16" t="s">
        <v>29</v>
      </c>
      <c r="AB158" s="9" t="s">
        <v>29</v>
      </c>
      <c r="AC158" s="9" t="s">
        <v>29</v>
      </c>
      <c r="AG158">
        <f>AK158</f>
        <v>4</v>
      </c>
      <c r="AK158">
        <f>L158</f>
        <v>4</v>
      </c>
      <c r="AM158" s="16" t="s">
        <v>29</v>
      </c>
      <c r="AN158" s="16" t="s">
        <v>29</v>
      </c>
      <c r="AO158" s="16" t="s">
        <v>29</v>
      </c>
      <c r="AP158" s="16" t="s">
        <v>29</v>
      </c>
      <c r="AQ158" t="str">
        <f t="shared" si="4"/>
        <v>NA</v>
      </c>
      <c r="AR158" t="str">
        <f t="shared" si="5"/>
        <v>NA</v>
      </c>
    </row>
    <row r="159" spans="1:44" ht="14.4" x14ac:dyDescent="0.3">
      <c r="A159" s="7">
        <v>22</v>
      </c>
      <c r="B159" s="8" t="s">
        <v>77</v>
      </c>
      <c r="C159" s="3">
        <v>21</v>
      </c>
      <c r="D159" s="3">
        <v>3</v>
      </c>
      <c r="E159" s="3" t="s">
        <v>60</v>
      </c>
      <c r="F159" s="3" t="s">
        <v>29</v>
      </c>
      <c r="G159" s="3" t="s">
        <v>29</v>
      </c>
      <c r="H159" s="3" t="s">
        <v>29</v>
      </c>
      <c r="I159" s="3" t="s">
        <v>29</v>
      </c>
      <c r="J159" s="3" t="s">
        <v>29</v>
      </c>
      <c r="K159" s="3" t="s">
        <v>29</v>
      </c>
      <c r="L159" s="3">
        <v>7</v>
      </c>
      <c r="M159" s="3" t="s">
        <v>29</v>
      </c>
      <c r="P159" s="9" t="s">
        <v>29</v>
      </c>
      <c r="Q159" s="9" t="s">
        <v>29</v>
      </c>
      <c r="R159" s="9" t="s">
        <v>29</v>
      </c>
      <c r="S159" s="9" t="s">
        <v>29</v>
      </c>
      <c r="T159" s="9" t="s">
        <v>29</v>
      </c>
      <c r="U159" s="9" t="s">
        <v>29</v>
      </c>
      <c r="V159" s="16" t="s">
        <v>29</v>
      </c>
      <c r="W159" s="16" t="s">
        <v>29</v>
      </c>
      <c r="X159" s="16" t="s">
        <v>29</v>
      </c>
      <c r="Y159" s="16" t="s">
        <v>29</v>
      </c>
      <c r="AB159" s="9" t="s">
        <v>29</v>
      </c>
      <c r="AC159" s="9" t="s">
        <v>29</v>
      </c>
      <c r="AG159">
        <f>AK159</f>
        <v>7</v>
      </c>
      <c r="AK159">
        <f>L159</f>
        <v>7</v>
      </c>
      <c r="AM159" s="16" t="s">
        <v>29</v>
      </c>
      <c r="AN159" s="16" t="s">
        <v>29</v>
      </c>
      <c r="AO159" s="16" t="s">
        <v>29</v>
      </c>
      <c r="AP159" s="16" t="s">
        <v>29</v>
      </c>
      <c r="AQ159" t="str">
        <f t="shared" si="4"/>
        <v>NA</v>
      </c>
      <c r="AR159" t="str">
        <f t="shared" si="5"/>
        <v>NA</v>
      </c>
    </row>
    <row r="160" spans="1:44" ht="14.4" x14ac:dyDescent="0.3">
      <c r="A160" s="2">
        <v>22</v>
      </c>
      <c r="B160" s="2" t="s">
        <v>77</v>
      </c>
      <c r="C160" s="3">
        <v>28</v>
      </c>
      <c r="D160" s="3">
        <v>4</v>
      </c>
      <c r="E160" s="3" t="s">
        <v>60</v>
      </c>
      <c r="F160" s="3" t="s">
        <v>29</v>
      </c>
      <c r="G160" s="3" t="s">
        <v>29</v>
      </c>
      <c r="H160" s="3" t="s">
        <v>29</v>
      </c>
      <c r="I160" s="3" t="s">
        <v>29</v>
      </c>
      <c r="J160" s="3" t="s">
        <v>29</v>
      </c>
      <c r="K160" s="3" t="s">
        <v>29</v>
      </c>
      <c r="L160" s="3">
        <v>8</v>
      </c>
      <c r="M160" s="3" t="s">
        <v>29</v>
      </c>
      <c r="P160" s="9" t="s">
        <v>29</v>
      </c>
      <c r="Q160" s="9" t="s">
        <v>29</v>
      </c>
      <c r="R160" s="9" t="s">
        <v>29</v>
      </c>
      <c r="S160" s="9" t="s">
        <v>29</v>
      </c>
      <c r="T160" s="9" t="s">
        <v>29</v>
      </c>
      <c r="U160" s="9" t="s">
        <v>29</v>
      </c>
      <c r="V160" s="16" t="s">
        <v>29</v>
      </c>
      <c r="W160" s="16" t="s">
        <v>29</v>
      </c>
      <c r="X160" s="16" t="s">
        <v>29</v>
      </c>
      <c r="Y160" s="16" t="s">
        <v>29</v>
      </c>
      <c r="AB160" s="9" t="s">
        <v>29</v>
      </c>
      <c r="AC160" s="9" t="s">
        <v>29</v>
      </c>
      <c r="AG160">
        <f>AK160</f>
        <v>8</v>
      </c>
      <c r="AK160">
        <f>L160</f>
        <v>8</v>
      </c>
      <c r="AM160" s="16" t="s">
        <v>29</v>
      </c>
      <c r="AN160" s="16" t="s">
        <v>29</v>
      </c>
      <c r="AO160" s="16" t="s">
        <v>29</v>
      </c>
      <c r="AP160" s="16" t="s">
        <v>29</v>
      </c>
      <c r="AQ160" t="str">
        <f t="shared" si="4"/>
        <v>NA</v>
      </c>
      <c r="AR160" t="str">
        <f t="shared" si="5"/>
        <v>NA</v>
      </c>
    </row>
    <row r="161" spans="1:44" ht="14.4" x14ac:dyDescent="0.3">
      <c r="A161" s="7">
        <v>22</v>
      </c>
      <c r="B161" s="8" t="s">
        <v>77</v>
      </c>
      <c r="C161" s="3">
        <v>35</v>
      </c>
      <c r="D161" s="3">
        <v>5</v>
      </c>
      <c r="E161" s="3" t="s">
        <v>60</v>
      </c>
      <c r="F161" s="3" t="s">
        <v>29</v>
      </c>
      <c r="G161" s="3" t="s">
        <v>29</v>
      </c>
      <c r="H161" s="3" t="s">
        <v>29</v>
      </c>
      <c r="I161" s="3" t="s">
        <v>29</v>
      </c>
      <c r="J161" s="3" t="s">
        <v>29</v>
      </c>
      <c r="K161" s="3" t="s">
        <v>29</v>
      </c>
      <c r="L161" s="3">
        <v>11</v>
      </c>
      <c r="M161" s="3" t="s">
        <v>29</v>
      </c>
      <c r="P161" s="9" t="s">
        <v>29</v>
      </c>
      <c r="Q161" s="9" t="s">
        <v>29</v>
      </c>
      <c r="R161" s="9" t="s">
        <v>29</v>
      </c>
      <c r="S161" s="9" t="s">
        <v>29</v>
      </c>
      <c r="T161" s="9" t="s">
        <v>29</v>
      </c>
      <c r="U161" s="9" t="s">
        <v>29</v>
      </c>
      <c r="V161" s="16" t="s">
        <v>29</v>
      </c>
      <c r="W161" s="16" t="s">
        <v>29</v>
      </c>
      <c r="X161" s="16" t="s">
        <v>29</v>
      </c>
      <c r="Y161" s="16" t="s">
        <v>29</v>
      </c>
      <c r="AB161" s="9" t="s">
        <v>29</v>
      </c>
      <c r="AC161" s="9" t="s">
        <v>29</v>
      </c>
      <c r="AG161">
        <f>AK161</f>
        <v>11</v>
      </c>
      <c r="AK161">
        <f>L161</f>
        <v>11</v>
      </c>
      <c r="AM161" s="16" t="s">
        <v>29</v>
      </c>
      <c r="AN161" s="16" t="s">
        <v>29</v>
      </c>
      <c r="AO161" s="16" t="s">
        <v>29</v>
      </c>
      <c r="AP161" s="16" t="s">
        <v>29</v>
      </c>
      <c r="AQ161" t="str">
        <f t="shared" si="4"/>
        <v>NA</v>
      </c>
      <c r="AR161" t="str">
        <f t="shared" si="5"/>
        <v>NA</v>
      </c>
    </row>
    <row r="162" spans="1:44" ht="14.4" x14ac:dyDescent="0.3">
      <c r="A162" s="2">
        <v>12</v>
      </c>
      <c r="B162" s="3" t="s">
        <v>61</v>
      </c>
      <c r="C162" s="3">
        <v>7</v>
      </c>
      <c r="D162" s="3">
        <v>1</v>
      </c>
      <c r="E162" s="3" t="s">
        <v>60</v>
      </c>
      <c r="F162" s="3" t="s">
        <v>29</v>
      </c>
      <c r="G162" s="3" t="s">
        <v>29</v>
      </c>
      <c r="H162" s="3" t="s">
        <v>29</v>
      </c>
      <c r="I162" s="3" t="s">
        <v>29</v>
      </c>
      <c r="J162" s="3" t="s">
        <v>29</v>
      </c>
      <c r="K162" s="3" t="s">
        <v>29</v>
      </c>
      <c r="L162" s="3" t="s">
        <v>29</v>
      </c>
      <c r="M162" s="3" t="s">
        <v>29</v>
      </c>
      <c r="P162" s="9" t="s">
        <v>29</v>
      </c>
      <c r="Q162" s="9" t="s">
        <v>29</v>
      </c>
      <c r="R162" s="9" t="s">
        <v>29</v>
      </c>
      <c r="S162" s="9" t="s">
        <v>29</v>
      </c>
      <c r="T162" s="9" t="s">
        <v>29</v>
      </c>
      <c r="U162" s="9" t="s">
        <v>29</v>
      </c>
      <c r="V162" s="16" t="s">
        <v>29</v>
      </c>
      <c r="W162" s="16" t="s">
        <v>29</v>
      </c>
      <c r="X162" s="16" t="s">
        <v>29</v>
      </c>
      <c r="Y162" s="16" t="s">
        <v>29</v>
      </c>
      <c r="AB162" s="9" t="s">
        <v>29</v>
      </c>
      <c r="AC162" s="9" t="s">
        <v>29</v>
      </c>
      <c r="AG162" t="str">
        <f>AK162</f>
        <v>NA</v>
      </c>
      <c r="AK162" t="str">
        <f>L162</f>
        <v>NA</v>
      </c>
      <c r="AM162" s="16" t="s">
        <v>29</v>
      </c>
      <c r="AN162" s="16" t="s">
        <v>29</v>
      </c>
      <c r="AO162" s="16" t="s">
        <v>29</v>
      </c>
      <c r="AP162" s="16" t="s">
        <v>29</v>
      </c>
      <c r="AQ162" t="str">
        <f t="shared" si="4"/>
        <v>NA</v>
      </c>
      <c r="AR162" t="str">
        <f t="shared" si="5"/>
        <v>NA</v>
      </c>
    </row>
    <row r="163" spans="1:44" ht="14.4" x14ac:dyDescent="0.3">
      <c r="A163" s="2">
        <v>12</v>
      </c>
      <c r="B163" s="3" t="s">
        <v>61</v>
      </c>
      <c r="C163" s="3">
        <v>14</v>
      </c>
      <c r="D163" s="3">
        <v>2</v>
      </c>
      <c r="E163" s="3" t="s">
        <v>60</v>
      </c>
      <c r="F163" s="3" t="s">
        <v>29</v>
      </c>
      <c r="G163" s="3" t="s">
        <v>29</v>
      </c>
      <c r="H163" s="3" t="s">
        <v>29</v>
      </c>
      <c r="I163" s="3" t="s">
        <v>29</v>
      </c>
      <c r="J163" s="3" t="s">
        <v>29</v>
      </c>
      <c r="K163" s="3" t="s">
        <v>29</v>
      </c>
      <c r="L163" s="3">
        <v>14</v>
      </c>
      <c r="M163" s="3" t="s">
        <v>29</v>
      </c>
      <c r="P163" s="9" t="s">
        <v>29</v>
      </c>
      <c r="Q163" s="9" t="s">
        <v>29</v>
      </c>
      <c r="R163" s="9" t="s">
        <v>29</v>
      </c>
      <c r="S163" s="9" t="s">
        <v>29</v>
      </c>
      <c r="T163" s="9" t="s">
        <v>29</v>
      </c>
      <c r="U163" s="9" t="s">
        <v>29</v>
      </c>
      <c r="V163" s="16" t="s">
        <v>29</v>
      </c>
      <c r="W163" s="16" t="s">
        <v>29</v>
      </c>
      <c r="X163" s="16" t="s">
        <v>29</v>
      </c>
      <c r="Y163" s="16" t="s">
        <v>29</v>
      </c>
      <c r="AB163" s="9" t="s">
        <v>29</v>
      </c>
      <c r="AC163" s="9" t="s">
        <v>29</v>
      </c>
      <c r="AG163">
        <f>AK163</f>
        <v>14</v>
      </c>
      <c r="AK163">
        <f>L163</f>
        <v>14</v>
      </c>
      <c r="AM163" s="16" t="s">
        <v>29</v>
      </c>
      <c r="AN163" s="16" t="s">
        <v>29</v>
      </c>
      <c r="AO163" s="16" t="s">
        <v>29</v>
      </c>
      <c r="AP163" s="16" t="s">
        <v>29</v>
      </c>
      <c r="AQ163" t="str">
        <f t="shared" si="4"/>
        <v>NA</v>
      </c>
      <c r="AR163" t="str">
        <f t="shared" si="5"/>
        <v>NA</v>
      </c>
    </row>
    <row r="164" spans="1:44" ht="14.4" x14ac:dyDescent="0.3">
      <c r="A164" s="2">
        <v>12</v>
      </c>
      <c r="B164" s="3" t="s">
        <v>61</v>
      </c>
      <c r="C164" s="3">
        <v>21</v>
      </c>
      <c r="D164" s="3">
        <v>3</v>
      </c>
      <c r="E164" s="3" t="s">
        <v>60</v>
      </c>
      <c r="F164" s="3" t="s">
        <v>29</v>
      </c>
      <c r="G164" s="3" t="s">
        <v>29</v>
      </c>
      <c r="H164" s="3" t="s">
        <v>29</v>
      </c>
      <c r="I164" s="3" t="s">
        <v>29</v>
      </c>
      <c r="J164" s="3" t="s">
        <v>29</v>
      </c>
      <c r="K164" s="3" t="s">
        <v>29</v>
      </c>
      <c r="L164" s="4">
        <v>4</v>
      </c>
      <c r="M164" s="3" t="s">
        <v>29</v>
      </c>
      <c r="P164" s="9" t="s">
        <v>29</v>
      </c>
      <c r="Q164" s="9" t="s">
        <v>29</v>
      </c>
      <c r="R164" s="9" t="s">
        <v>29</v>
      </c>
      <c r="S164" s="9" t="s">
        <v>29</v>
      </c>
      <c r="T164" s="9" t="s">
        <v>29</v>
      </c>
      <c r="U164" s="9" t="s">
        <v>29</v>
      </c>
      <c r="V164" s="16" t="s">
        <v>29</v>
      </c>
      <c r="W164" s="16" t="s">
        <v>29</v>
      </c>
      <c r="X164" s="16" t="s">
        <v>29</v>
      </c>
      <c r="Y164" s="16" t="s">
        <v>29</v>
      </c>
      <c r="AB164" s="9" t="s">
        <v>29</v>
      </c>
      <c r="AC164" s="9" t="s">
        <v>29</v>
      </c>
      <c r="AG164">
        <f>AK164</f>
        <v>4</v>
      </c>
      <c r="AK164">
        <f>L164</f>
        <v>4</v>
      </c>
      <c r="AM164" s="16" t="s">
        <v>29</v>
      </c>
      <c r="AN164" s="16" t="s">
        <v>29</v>
      </c>
      <c r="AO164" s="16" t="s">
        <v>29</v>
      </c>
      <c r="AP164" s="16" t="s">
        <v>29</v>
      </c>
      <c r="AQ164" t="str">
        <f t="shared" si="4"/>
        <v>NA</v>
      </c>
      <c r="AR164" t="str">
        <f t="shared" si="5"/>
        <v>NA</v>
      </c>
    </row>
    <row r="165" spans="1:44" ht="14.4" x14ac:dyDescent="0.3">
      <c r="A165" s="2">
        <v>12</v>
      </c>
      <c r="B165" s="3" t="s">
        <v>61</v>
      </c>
      <c r="C165" s="3">
        <v>28</v>
      </c>
      <c r="D165" s="3">
        <v>4</v>
      </c>
      <c r="E165" s="3" t="s">
        <v>60</v>
      </c>
      <c r="F165" s="3" t="s">
        <v>29</v>
      </c>
      <c r="G165" s="3" t="s">
        <v>29</v>
      </c>
      <c r="H165" s="3" t="s">
        <v>29</v>
      </c>
      <c r="I165" s="3" t="s">
        <v>29</v>
      </c>
      <c r="J165" s="3" t="s">
        <v>29</v>
      </c>
      <c r="K165" s="3" t="s">
        <v>29</v>
      </c>
      <c r="L165" s="3">
        <v>10</v>
      </c>
      <c r="M165" s="3" t="s">
        <v>29</v>
      </c>
      <c r="P165" s="9" t="s">
        <v>29</v>
      </c>
      <c r="Q165" s="9" t="s">
        <v>29</v>
      </c>
      <c r="R165" s="9" t="s">
        <v>29</v>
      </c>
      <c r="S165" s="9" t="s">
        <v>29</v>
      </c>
      <c r="T165" s="9" t="s">
        <v>29</v>
      </c>
      <c r="U165" s="9" t="s">
        <v>29</v>
      </c>
      <c r="V165" s="16" t="s">
        <v>29</v>
      </c>
      <c r="W165" s="16" t="s">
        <v>29</v>
      </c>
      <c r="X165" s="16" t="s">
        <v>29</v>
      </c>
      <c r="Y165" s="16" t="s">
        <v>29</v>
      </c>
      <c r="AB165" s="9" t="s">
        <v>29</v>
      </c>
      <c r="AC165" s="9" t="s">
        <v>29</v>
      </c>
      <c r="AG165">
        <f>AK165</f>
        <v>10</v>
      </c>
      <c r="AK165">
        <f>L165</f>
        <v>10</v>
      </c>
      <c r="AM165" s="16" t="s">
        <v>29</v>
      </c>
      <c r="AN165" s="16" t="s">
        <v>29</v>
      </c>
      <c r="AO165" s="16" t="s">
        <v>29</v>
      </c>
      <c r="AP165" s="16" t="s">
        <v>29</v>
      </c>
      <c r="AQ165" t="str">
        <f t="shared" si="4"/>
        <v>NA</v>
      </c>
      <c r="AR165" t="str">
        <f t="shared" si="5"/>
        <v>NA</v>
      </c>
    </row>
    <row r="166" spans="1:44" ht="14.4" x14ac:dyDescent="0.3">
      <c r="A166" s="2">
        <v>12</v>
      </c>
      <c r="B166" s="3" t="s">
        <v>61</v>
      </c>
      <c r="C166" s="3">
        <v>35</v>
      </c>
      <c r="D166" s="3">
        <v>5</v>
      </c>
      <c r="E166" s="3" t="s">
        <v>60</v>
      </c>
      <c r="F166" s="3" t="s">
        <v>29</v>
      </c>
      <c r="G166" s="3" t="s">
        <v>29</v>
      </c>
      <c r="H166" s="3" t="s">
        <v>29</v>
      </c>
      <c r="I166" s="3" t="s">
        <v>29</v>
      </c>
      <c r="J166" s="3" t="s">
        <v>29</v>
      </c>
      <c r="K166" s="3" t="s">
        <v>29</v>
      </c>
      <c r="L166" s="3">
        <v>24</v>
      </c>
      <c r="M166" s="3" t="s">
        <v>29</v>
      </c>
      <c r="P166" s="9" t="s">
        <v>29</v>
      </c>
      <c r="Q166" s="9" t="s">
        <v>29</v>
      </c>
      <c r="R166" s="9" t="s">
        <v>29</v>
      </c>
      <c r="S166" s="9" t="s">
        <v>29</v>
      </c>
      <c r="T166" s="9" t="s">
        <v>29</v>
      </c>
      <c r="U166" s="9" t="s">
        <v>29</v>
      </c>
      <c r="V166" s="16" t="s">
        <v>29</v>
      </c>
      <c r="W166" s="16" t="s">
        <v>29</v>
      </c>
      <c r="X166" s="16" t="s">
        <v>29</v>
      </c>
      <c r="Y166" s="16" t="s">
        <v>29</v>
      </c>
      <c r="AB166" s="9" t="s">
        <v>29</v>
      </c>
      <c r="AC166" s="9" t="s">
        <v>29</v>
      </c>
      <c r="AG166">
        <f>AK166</f>
        <v>24</v>
      </c>
      <c r="AK166">
        <f>L166</f>
        <v>24</v>
      </c>
      <c r="AM166" s="16" t="s">
        <v>29</v>
      </c>
      <c r="AN166" s="16" t="s">
        <v>29</v>
      </c>
      <c r="AO166" s="16" t="s">
        <v>29</v>
      </c>
      <c r="AP166" s="16" t="s">
        <v>29</v>
      </c>
      <c r="AQ166" t="str">
        <f t="shared" si="4"/>
        <v>NA</v>
      </c>
      <c r="AR166" t="str">
        <f t="shared" si="5"/>
        <v>NA</v>
      </c>
    </row>
    <row r="167" spans="1:44" ht="14.4" x14ac:dyDescent="0.3">
      <c r="A167" s="2">
        <v>19</v>
      </c>
      <c r="B167" s="2" t="s">
        <v>76</v>
      </c>
      <c r="C167" s="3">
        <v>7</v>
      </c>
      <c r="D167" s="3">
        <v>1</v>
      </c>
      <c r="E167" s="3" t="s">
        <v>60</v>
      </c>
      <c r="F167" s="3" t="s">
        <v>29</v>
      </c>
      <c r="G167" s="3" t="s">
        <v>29</v>
      </c>
      <c r="H167" s="3" t="s">
        <v>29</v>
      </c>
      <c r="I167" s="3" t="s">
        <v>29</v>
      </c>
      <c r="J167" s="3" t="s">
        <v>29</v>
      </c>
      <c r="K167" s="3" t="s">
        <v>29</v>
      </c>
      <c r="L167" s="3" t="s">
        <v>29</v>
      </c>
      <c r="M167" s="3" t="s">
        <v>29</v>
      </c>
      <c r="P167" s="9" t="s">
        <v>29</v>
      </c>
      <c r="Q167" s="9" t="s">
        <v>29</v>
      </c>
      <c r="R167" s="9" t="s">
        <v>29</v>
      </c>
      <c r="S167" s="9" t="s">
        <v>29</v>
      </c>
      <c r="T167" s="9" t="s">
        <v>29</v>
      </c>
      <c r="U167" s="9" t="s">
        <v>29</v>
      </c>
      <c r="V167" s="16" t="s">
        <v>29</v>
      </c>
      <c r="W167" s="16" t="s">
        <v>29</v>
      </c>
      <c r="X167" s="16" t="s">
        <v>29</v>
      </c>
      <c r="Y167" s="16" t="s">
        <v>29</v>
      </c>
      <c r="AB167" s="9" t="s">
        <v>29</v>
      </c>
      <c r="AC167" s="9" t="s">
        <v>29</v>
      </c>
      <c r="AG167" t="str">
        <f>AK167</f>
        <v>NA</v>
      </c>
      <c r="AK167" t="str">
        <f>L167</f>
        <v>NA</v>
      </c>
      <c r="AM167" s="16" t="s">
        <v>29</v>
      </c>
      <c r="AN167" s="16" t="s">
        <v>29</v>
      </c>
      <c r="AO167" s="16" t="s">
        <v>29</v>
      </c>
      <c r="AP167" s="16" t="s">
        <v>29</v>
      </c>
      <c r="AQ167" t="str">
        <f t="shared" si="4"/>
        <v>NA</v>
      </c>
      <c r="AR167" t="str">
        <f t="shared" si="5"/>
        <v>NA</v>
      </c>
    </row>
    <row r="168" spans="1:44" ht="14.4" x14ac:dyDescent="0.3">
      <c r="A168" s="2">
        <v>19</v>
      </c>
      <c r="B168" s="2" t="s">
        <v>76</v>
      </c>
      <c r="C168" s="3">
        <v>14</v>
      </c>
      <c r="D168" s="3">
        <v>2</v>
      </c>
      <c r="E168" s="3" t="s">
        <v>60</v>
      </c>
      <c r="F168" s="3" t="s">
        <v>29</v>
      </c>
      <c r="G168" s="3" t="s">
        <v>29</v>
      </c>
      <c r="H168" s="3" t="s">
        <v>29</v>
      </c>
      <c r="I168" s="3" t="s">
        <v>29</v>
      </c>
      <c r="J168" s="3" t="s">
        <v>29</v>
      </c>
      <c r="K168" s="3" t="s">
        <v>29</v>
      </c>
      <c r="L168" s="3" t="s">
        <v>29</v>
      </c>
      <c r="M168" s="3" t="s">
        <v>29</v>
      </c>
      <c r="P168" s="9" t="s">
        <v>29</v>
      </c>
      <c r="Q168" s="9" t="s">
        <v>29</v>
      </c>
      <c r="R168" s="9" t="s">
        <v>29</v>
      </c>
      <c r="S168" s="9" t="s">
        <v>29</v>
      </c>
      <c r="T168" s="9" t="s">
        <v>29</v>
      </c>
      <c r="U168" s="9" t="s">
        <v>29</v>
      </c>
      <c r="V168" s="16" t="s">
        <v>29</v>
      </c>
      <c r="W168" s="16" t="s">
        <v>29</v>
      </c>
      <c r="X168" s="16" t="s">
        <v>29</v>
      </c>
      <c r="Y168" s="16" t="s">
        <v>29</v>
      </c>
      <c r="AB168" s="9" t="s">
        <v>29</v>
      </c>
      <c r="AC168" s="9" t="s">
        <v>29</v>
      </c>
      <c r="AG168" t="str">
        <f>AK168</f>
        <v>NA</v>
      </c>
      <c r="AK168" t="str">
        <f>L168</f>
        <v>NA</v>
      </c>
      <c r="AM168" s="16" t="s">
        <v>29</v>
      </c>
      <c r="AN168" s="16" t="s">
        <v>29</v>
      </c>
      <c r="AO168" s="16" t="s">
        <v>29</v>
      </c>
      <c r="AP168" s="16" t="s">
        <v>29</v>
      </c>
      <c r="AQ168" t="str">
        <f t="shared" si="4"/>
        <v>NA</v>
      </c>
      <c r="AR168" t="str">
        <f t="shared" si="5"/>
        <v>NA</v>
      </c>
    </row>
    <row r="169" spans="1:44" ht="14.4" x14ac:dyDescent="0.3">
      <c r="A169" s="2">
        <v>19</v>
      </c>
      <c r="B169" s="2" t="s">
        <v>76</v>
      </c>
      <c r="C169" s="3">
        <v>21</v>
      </c>
      <c r="D169" s="3">
        <v>3</v>
      </c>
      <c r="E169" s="3" t="s">
        <v>60</v>
      </c>
      <c r="F169" s="3" t="s">
        <v>29</v>
      </c>
      <c r="G169" s="3" t="s">
        <v>29</v>
      </c>
      <c r="H169" s="3" t="s">
        <v>29</v>
      </c>
      <c r="I169" s="3" t="s">
        <v>29</v>
      </c>
      <c r="J169" s="3" t="s">
        <v>29</v>
      </c>
      <c r="K169" s="3" t="s">
        <v>29</v>
      </c>
      <c r="L169" s="3">
        <v>15</v>
      </c>
      <c r="M169" s="3" t="s">
        <v>29</v>
      </c>
      <c r="P169" s="9" t="s">
        <v>29</v>
      </c>
      <c r="Q169" s="9" t="s">
        <v>29</v>
      </c>
      <c r="R169" s="9" t="s">
        <v>29</v>
      </c>
      <c r="S169" s="9" t="s">
        <v>29</v>
      </c>
      <c r="T169" s="9" t="s">
        <v>29</v>
      </c>
      <c r="U169" s="9" t="s">
        <v>29</v>
      </c>
      <c r="V169" s="16" t="s">
        <v>29</v>
      </c>
      <c r="W169" s="16" t="s">
        <v>29</v>
      </c>
      <c r="X169" s="16" t="s">
        <v>29</v>
      </c>
      <c r="Y169" s="16" t="s">
        <v>29</v>
      </c>
      <c r="AB169" s="9" t="s">
        <v>29</v>
      </c>
      <c r="AC169" s="9" t="s">
        <v>29</v>
      </c>
      <c r="AG169">
        <f>AK169</f>
        <v>15</v>
      </c>
      <c r="AK169">
        <f>L169</f>
        <v>15</v>
      </c>
      <c r="AM169" s="16" t="s">
        <v>29</v>
      </c>
      <c r="AN169" s="16" t="s">
        <v>29</v>
      </c>
      <c r="AO169" s="16" t="s">
        <v>29</v>
      </c>
      <c r="AP169" s="16" t="s">
        <v>29</v>
      </c>
      <c r="AQ169" t="str">
        <f t="shared" si="4"/>
        <v>NA</v>
      </c>
      <c r="AR169" t="str">
        <f t="shared" si="5"/>
        <v>NA</v>
      </c>
    </row>
    <row r="170" spans="1:44" ht="14.4" x14ac:dyDescent="0.3">
      <c r="A170" s="2">
        <v>19</v>
      </c>
      <c r="B170" s="2" t="s">
        <v>76</v>
      </c>
      <c r="C170" s="3">
        <v>28</v>
      </c>
      <c r="D170" s="3">
        <v>4</v>
      </c>
      <c r="E170" s="3" t="s">
        <v>60</v>
      </c>
      <c r="F170" s="3" t="s">
        <v>29</v>
      </c>
      <c r="G170" s="3" t="s">
        <v>29</v>
      </c>
      <c r="H170" s="3" t="s">
        <v>29</v>
      </c>
      <c r="I170" s="3" t="s">
        <v>29</v>
      </c>
      <c r="J170" s="3" t="s">
        <v>29</v>
      </c>
      <c r="K170" s="3" t="s">
        <v>29</v>
      </c>
      <c r="L170" s="3">
        <v>19</v>
      </c>
      <c r="M170" s="3" t="s">
        <v>29</v>
      </c>
      <c r="P170" s="9" t="s">
        <v>29</v>
      </c>
      <c r="Q170" s="9" t="s">
        <v>29</v>
      </c>
      <c r="R170" s="9" t="s">
        <v>29</v>
      </c>
      <c r="S170" s="9" t="s">
        <v>29</v>
      </c>
      <c r="T170" s="9" t="s">
        <v>29</v>
      </c>
      <c r="U170" s="9" t="s">
        <v>29</v>
      </c>
      <c r="V170" s="16" t="s">
        <v>29</v>
      </c>
      <c r="W170" s="16" t="s">
        <v>29</v>
      </c>
      <c r="X170" s="16" t="s">
        <v>29</v>
      </c>
      <c r="Y170" s="16" t="s">
        <v>29</v>
      </c>
      <c r="AB170" s="9" t="s">
        <v>29</v>
      </c>
      <c r="AC170" s="9" t="s">
        <v>29</v>
      </c>
      <c r="AG170">
        <f>AK170</f>
        <v>19</v>
      </c>
      <c r="AK170">
        <f>L170</f>
        <v>19</v>
      </c>
      <c r="AM170" s="16" t="s">
        <v>29</v>
      </c>
      <c r="AN170" s="16" t="s">
        <v>29</v>
      </c>
      <c r="AO170" s="16" t="s">
        <v>29</v>
      </c>
      <c r="AP170" s="16" t="s">
        <v>29</v>
      </c>
      <c r="AQ170" t="str">
        <f t="shared" si="4"/>
        <v>NA</v>
      </c>
      <c r="AR170" t="str">
        <f t="shared" si="5"/>
        <v>NA</v>
      </c>
    </row>
    <row r="171" spans="1:44" ht="14.4" x14ac:dyDescent="0.3">
      <c r="A171" s="2">
        <v>19</v>
      </c>
      <c r="B171" s="2" t="s">
        <v>76</v>
      </c>
      <c r="C171" s="3">
        <v>35</v>
      </c>
      <c r="D171" s="3">
        <v>5</v>
      </c>
      <c r="E171" s="3" t="s">
        <v>60</v>
      </c>
      <c r="F171" s="3" t="s">
        <v>29</v>
      </c>
      <c r="G171" s="3" t="s">
        <v>29</v>
      </c>
      <c r="H171" s="3" t="s">
        <v>29</v>
      </c>
      <c r="I171" s="3" t="s">
        <v>29</v>
      </c>
      <c r="J171" s="3" t="s">
        <v>29</v>
      </c>
      <c r="K171" s="3" t="s">
        <v>29</v>
      </c>
      <c r="L171" s="3" t="s">
        <v>29</v>
      </c>
      <c r="M171" s="3" t="s">
        <v>29</v>
      </c>
      <c r="P171" s="9" t="s">
        <v>29</v>
      </c>
      <c r="Q171" s="9" t="s">
        <v>29</v>
      </c>
      <c r="R171" s="9" t="s">
        <v>29</v>
      </c>
      <c r="S171" s="9" t="s">
        <v>29</v>
      </c>
      <c r="T171" s="9" t="s">
        <v>29</v>
      </c>
      <c r="U171" s="9" t="s">
        <v>29</v>
      </c>
      <c r="V171" s="16" t="s">
        <v>29</v>
      </c>
      <c r="W171" s="16" t="s">
        <v>29</v>
      </c>
      <c r="X171" s="16" t="s">
        <v>29</v>
      </c>
      <c r="Y171" s="16" t="s">
        <v>29</v>
      </c>
      <c r="AB171" s="9" t="s">
        <v>29</v>
      </c>
      <c r="AC171" s="9" t="s">
        <v>29</v>
      </c>
      <c r="AG171" t="str">
        <f>AK171</f>
        <v>NA</v>
      </c>
      <c r="AK171" t="str">
        <f>L171</f>
        <v>NA</v>
      </c>
      <c r="AM171" s="16" t="s">
        <v>29</v>
      </c>
      <c r="AN171" s="16" t="s">
        <v>29</v>
      </c>
      <c r="AO171" s="16" t="s">
        <v>29</v>
      </c>
      <c r="AP171" s="16" t="s">
        <v>29</v>
      </c>
      <c r="AQ171" t="str">
        <f t="shared" si="4"/>
        <v>NA</v>
      </c>
      <c r="AR171" t="str">
        <f t="shared" si="5"/>
        <v>NA</v>
      </c>
    </row>
    <row r="172" spans="1:44" ht="14.4" x14ac:dyDescent="0.3">
      <c r="A172" s="2">
        <v>5</v>
      </c>
      <c r="B172" s="2" t="s">
        <v>62</v>
      </c>
      <c r="C172" s="3">
        <v>7</v>
      </c>
      <c r="D172" s="3">
        <v>1</v>
      </c>
      <c r="E172" s="3" t="s">
        <v>60</v>
      </c>
      <c r="F172" s="3" t="s">
        <v>29</v>
      </c>
      <c r="G172" s="3" t="s">
        <v>29</v>
      </c>
      <c r="H172" s="3" t="s">
        <v>29</v>
      </c>
      <c r="I172" s="3" t="s">
        <v>29</v>
      </c>
      <c r="J172" s="3" t="s">
        <v>29</v>
      </c>
      <c r="K172" s="3" t="s">
        <v>29</v>
      </c>
      <c r="L172" s="3" t="s">
        <v>29</v>
      </c>
      <c r="M172" s="3" t="s">
        <v>29</v>
      </c>
      <c r="P172" s="9" t="s">
        <v>29</v>
      </c>
      <c r="Q172" s="9" t="s">
        <v>29</v>
      </c>
      <c r="R172" s="9" t="s">
        <v>29</v>
      </c>
      <c r="S172" s="9" t="s">
        <v>29</v>
      </c>
      <c r="T172" s="9" t="s">
        <v>29</v>
      </c>
      <c r="U172" s="9" t="s">
        <v>29</v>
      </c>
      <c r="V172" s="16" t="s">
        <v>29</v>
      </c>
      <c r="W172" s="16" t="s">
        <v>29</v>
      </c>
      <c r="X172" s="16" t="s">
        <v>29</v>
      </c>
      <c r="Y172" s="16" t="s">
        <v>29</v>
      </c>
      <c r="AB172" s="9" t="s">
        <v>29</v>
      </c>
      <c r="AC172" s="9" t="s">
        <v>29</v>
      </c>
      <c r="AG172" t="str">
        <f>AK172</f>
        <v>NA</v>
      </c>
      <c r="AK172" t="str">
        <f>L172</f>
        <v>NA</v>
      </c>
      <c r="AM172" s="16" t="s">
        <v>29</v>
      </c>
      <c r="AN172" s="16" t="s">
        <v>29</v>
      </c>
      <c r="AO172" s="16" t="s">
        <v>29</v>
      </c>
      <c r="AP172" s="16" t="s">
        <v>29</v>
      </c>
      <c r="AQ172" t="str">
        <f t="shared" si="4"/>
        <v>NA</v>
      </c>
      <c r="AR172" t="str">
        <f t="shared" si="5"/>
        <v>NA</v>
      </c>
    </row>
    <row r="173" spans="1:44" ht="14.4" x14ac:dyDescent="0.3">
      <c r="A173" s="2">
        <v>5</v>
      </c>
      <c r="B173" s="2" t="s">
        <v>62</v>
      </c>
      <c r="C173" s="3">
        <v>14</v>
      </c>
      <c r="D173" s="3">
        <v>2</v>
      </c>
      <c r="E173" s="3" t="s">
        <v>60</v>
      </c>
      <c r="F173" s="3" t="s">
        <v>29</v>
      </c>
      <c r="G173" s="3" t="s">
        <v>29</v>
      </c>
      <c r="H173" s="3" t="s">
        <v>29</v>
      </c>
      <c r="I173" s="3" t="s">
        <v>29</v>
      </c>
      <c r="J173" s="3" t="s">
        <v>29</v>
      </c>
      <c r="K173" s="3" t="s">
        <v>29</v>
      </c>
      <c r="L173" s="3">
        <v>7</v>
      </c>
      <c r="M173" s="3" t="s">
        <v>29</v>
      </c>
      <c r="P173" s="9" t="s">
        <v>29</v>
      </c>
      <c r="Q173" s="9" t="s">
        <v>29</v>
      </c>
      <c r="R173" s="9" t="s">
        <v>29</v>
      </c>
      <c r="S173" s="9" t="s">
        <v>29</v>
      </c>
      <c r="T173" s="9" t="s">
        <v>29</v>
      </c>
      <c r="U173" s="9" t="s">
        <v>29</v>
      </c>
      <c r="V173" s="16" t="s">
        <v>29</v>
      </c>
      <c r="W173" s="16" t="s">
        <v>29</v>
      </c>
      <c r="X173" s="16" t="s">
        <v>29</v>
      </c>
      <c r="Y173" s="16" t="s">
        <v>29</v>
      </c>
      <c r="AB173" s="9" t="s">
        <v>29</v>
      </c>
      <c r="AC173" s="9" t="s">
        <v>29</v>
      </c>
      <c r="AG173">
        <f>AK173</f>
        <v>7</v>
      </c>
      <c r="AK173">
        <f>L173</f>
        <v>7</v>
      </c>
      <c r="AM173" s="16" t="s">
        <v>29</v>
      </c>
      <c r="AN173" s="16" t="s">
        <v>29</v>
      </c>
      <c r="AO173" s="16" t="s">
        <v>29</v>
      </c>
      <c r="AP173" s="16" t="s">
        <v>29</v>
      </c>
      <c r="AQ173" t="str">
        <f t="shared" si="4"/>
        <v>NA</v>
      </c>
      <c r="AR173" t="str">
        <f t="shared" si="5"/>
        <v>NA</v>
      </c>
    </row>
    <row r="174" spans="1:44" ht="14.4" x14ac:dyDescent="0.3">
      <c r="A174" s="2">
        <v>5</v>
      </c>
      <c r="B174" s="2" t="s">
        <v>62</v>
      </c>
      <c r="C174" s="3">
        <v>21</v>
      </c>
      <c r="D174" s="3">
        <v>3</v>
      </c>
      <c r="E174" s="3" t="s">
        <v>60</v>
      </c>
      <c r="F174" s="3" t="s">
        <v>29</v>
      </c>
      <c r="G174" s="3" t="s">
        <v>29</v>
      </c>
      <c r="H174" s="3" t="s">
        <v>29</v>
      </c>
      <c r="I174" s="3" t="s">
        <v>29</v>
      </c>
      <c r="J174" s="3" t="s">
        <v>29</v>
      </c>
      <c r="K174" s="3" t="s">
        <v>29</v>
      </c>
      <c r="L174" s="3">
        <v>11</v>
      </c>
      <c r="M174" s="3" t="s">
        <v>29</v>
      </c>
      <c r="P174" s="9" t="s">
        <v>29</v>
      </c>
      <c r="Q174" s="9" t="s">
        <v>29</v>
      </c>
      <c r="R174" s="9" t="s">
        <v>29</v>
      </c>
      <c r="S174" s="9" t="s">
        <v>29</v>
      </c>
      <c r="T174" s="9" t="s">
        <v>29</v>
      </c>
      <c r="U174" s="9" t="s">
        <v>29</v>
      </c>
      <c r="V174" s="16" t="s">
        <v>29</v>
      </c>
      <c r="W174" s="16" t="s">
        <v>29</v>
      </c>
      <c r="X174" s="16" t="s">
        <v>29</v>
      </c>
      <c r="Y174" s="16" t="s">
        <v>29</v>
      </c>
      <c r="AB174" s="9" t="s">
        <v>29</v>
      </c>
      <c r="AC174" s="9" t="s">
        <v>29</v>
      </c>
      <c r="AG174">
        <f>AK174</f>
        <v>11</v>
      </c>
      <c r="AK174">
        <f>L174</f>
        <v>11</v>
      </c>
      <c r="AM174" s="16" t="s">
        <v>29</v>
      </c>
      <c r="AN174" s="16" t="s">
        <v>29</v>
      </c>
      <c r="AO174" s="16" t="s">
        <v>29</v>
      </c>
      <c r="AP174" s="16" t="s">
        <v>29</v>
      </c>
      <c r="AQ174" t="str">
        <f t="shared" si="4"/>
        <v>NA</v>
      </c>
      <c r="AR174" t="str">
        <f t="shared" si="5"/>
        <v>NA</v>
      </c>
    </row>
    <row r="175" spans="1:44" ht="14.4" x14ac:dyDescent="0.3">
      <c r="A175" s="2">
        <v>5</v>
      </c>
      <c r="B175" s="2" t="s">
        <v>62</v>
      </c>
      <c r="C175" s="3">
        <v>28</v>
      </c>
      <c r="D175" s="3">
        <v>4</v>
      </c>
      <c r="E175" s="3" t="s">
        <v>60</v>
      </c>
      <c r="F175" s="3" t="s">
        <v>29</v>
      </c>
      <c r="G175" s="3" t="s">
        <v>29</v>
      </c>
      <c r="H175" s="3" t="s">
        <v>29</v>
      </c>
      <c r="I175" s="3" t="s">
        <v>29</v>
      </c>
      <c r="J175" s="3" t="s">
        <v>29</v>
      </c>
      <c r="K175" s="3" t="s">
        <v>29</v>
      </c>
      <c r="L175" s="3">
        <v>14</v>
      </c>
      <c r="M175" s="3" t="s">
        <v>29</v>
      </c>
      <c r="P175" s="9" t="s">
        <v>29</v>
      </c>
      <c r="Q175" s="9" t="s">
        <v>29</v>
      </c>
      <c r="R175" s="9" t="s">
        <v>29</v>
      </c>
      <c r="S175" s="9" t="s">
        <v>29</v>
      </c>
      <c r="T175" s="9" t="s">
        <v>29</v>
      </c>
      <c r="U175" s="9" t="s">
        <v>29</v>
      </c>
      <c r="V175" s="16" t="s">
        <v>29</v>
      </c>
      <c r="W175" s="16" t="s">
        <v>29</v>
      </c>
      <c r="X175" s="16" t="s">
        <v>29</v>
      </c>
      <c r="Y175" s="16" t="s">
        <v>29</v>
      </c>
      <c r="AB175" s="9" t="s">
        <v>29</v>
      </c>
      <c r="AC175" s="9" t="s">
        <v>29</v>
      </c>
      <c r="AG175">
        <f>AK175</f>
        <v>14</v>
      </c>
      <c r="AK175">
        <f>L175</f>
        <v>14</v>
      </c>
      <c r="AM175" s="16" t="s">
        <v>29</v>
      </c>
      <c r="AN175" s="16" t="s">
        <v>29</v>
      </c>
      <c r="AO175" s="16" t="s">
        <v>29</v>
      </c>
      <c r="AP175" s="16" t="s">
        <v>29</v>
      </c>
      <c r="AQ175" t="str">
        <f t="shared" si="4"/>
        <v>NA</v>
      </c>
      <c r="AR175" t="str">
        <f t="shared" si="5"/>
        <v>NA</v>
      </c>
    </row>
    <row r="176" spans="1:44" ht="14.4" x14ac:dyDescent="0.3">
      <c r="A176" s="2">
        <v>5</v>
      </c>
      <c r="B176" s="2" t="s">
        <v>62</v>
      </c>
      <c r="C176" s="3">
        <v>35</v>
      </c>
      <c r="D176" s="3">
        <v>5</v>
      </c>
      <c r="E176" s="3" t="s">
        <v>60</v>
      </c>
      <c r="F176" s="3" t="s">
        <v>29</v>
      </c>
      <c r="G176" s="3" t="s">
        <v>29</v>
      </c>
      <c r="H176" s="3" t="s">
        <v>29</v>
      </c>
      <c r="I176" s="3" t="s">
        <v>29</v>
      </c>
      <c r="J176" s="3" t="s">
        <v>29</v>
      </c>
      <c r="K176" s="3" t="s">
        <v>29</v>
      </c>
      <c r="L176" s="3">
        <v>9</v>
      </c>
      <c r="M176" s="3" t="s">
        <v>29</v>
      </c>
      <c r="P176" s="9" t="s">
        <v>29</v>
      </c>
      <c r="Q176" s="9" t="s">
        <v>29</v>
      </c>
      <c r="R176" s="9" t="s">
        <v>29</v>
      </c>
      <c r="S176" s="9" t="s">
        <v>29</v>
      </c>
      <c r="T176" s="9" t="s">
        <v>29</v>
      </c>
      <c r="U176" s="9" t="s">
        <v>29</v>
      </c>
      <c r="V176" s="16" t="s">
        <v>29</v>
      </c>
      <c r="W176" s="16" t="s">
        <v>29</v>
      </c>
      <c r="X176" s="16" t="s">
        <v>29</v>
      </c>
      <c r="Y176" s="16" t="s">
        <v>29</v>
      </c>
      <c r="AB176" s="9" t="s">
        <v>29</v>
      </c>
      <c r="AC176" s="9" t="s">
        <v>29</v>
      </c>
      <c r="AG176">
        <f>AK176</f>
        <v>9</v>
      </c>
      <c r="AK176">
        <f>L176</f>
        <v>9</v>
      </c>
      <c r="AM176" s="16" t="s">
        <v>29</v>
      </c>
      <c r="AN176" s="16" t="s">
        <v>29</v>
      </c>
      <c r="AO176" s="16" t="s">
        <v>29</v>
      </c>
      <c r="AP176" s="16" t="s">
        <v>29</v>
      </c>
      <c r="AQ176" t="str">
        <f t="shared" si="4"/>
        <v>NA</v>
      </c>
      <c r="AR176" t="str">
        <f t="shared" si="5"/>
        <v>NA</v>
      </c>
    </row>
    <row r="177" spans="1:44" ht="14.4" x14ac:dyDescent="0.3">
      <c r="A177" s="2">
        <v>9</v>
      </c>
      <c r="B177" s="2" t="s">
        <v>75</v>
      </c>
      <c r="C177" s="3">
        <v>7</v>
      </c>
      <c r="D177" s="3">
        <v>1</v>
      </c>
      <c r="E177" s="3" t="s">
        <v>60</v>
      </c>
      <c r="F177" s="3" t="s">
        <v>29</v>
      </c>
      <c r="G177" s="3" t="s">
        <v>29</v>
      </c>
      <c r="H177" s="3" t="s">
        <v>29</v>
      </c>
      <c r="I177" s="3" t="s">
        <v>29</v>
      </c>
      <c r="J177" s="3" t="s">
        <v>29</v>
      </c>
      <c r="K177" s="3" t="s">
        <v>29</v>
      </c>
      <c r="L177" s="3" t="s">
        <v>29</v>
      </c>
      <c r="M177" s="3" t="s">
        <v>29</v>
      </c>
      <c r="P177" s="9" t="s">
        <v>29</v>
      </c>
      <c r="Q177" s="9" t="s">
        <v>29</v>
      </c>
      <c r="R177" s="9" t="s">
        <v>29</v>
      </c>
      <c r="S177" s="9" t="s">
        <v>29</v>
      </c>
      <c r="T177" s="9" t="s">
        <v>29</v>
      </c>
      <c r="U177" s="9" t="s">
        <v>29</v>
      </c>
      <c r="V177" s="16" t="s">
        <v>29</v>
      </c>
      <c r="W177" s="16" t="s">
        <v>29</v>
      </c>
      <c r="X177" s="16" t="s">
        <v>29</v>
      </c>
      <c r="Y177" s="16" t="s">
        <v>29</v>
      </c>
      <c r="AB177" s="9" t="s">
        <v>29</v>
      </c>
      <c r="AC177" s="9" t="s">
        <v>29</v>
      </c>
      <c r="AG177" t="str">
        <f>AK177</f>
        <v>NA</v>
      </c>
      <c r="AK177" t="str">
        <f>L177</f>
        <v>NA</v>
      </c>
      <c r="AM177" s="16" t="s">
        <v>29</v>
      </c>
      <c r="AN177" s="16" t="s">
        <v>29</v>
      </c>
      <c r="AO177" s="16" t="s">
        <v>29</v>
      </c>
      <c r="AP177" s="16" t="s">
        <v>29</v>
      </c>
      <c r="AQ177" t="str">
        <f t="shared" si="4"/>
        <v>NA</v>
      </c>
      <c r="AR177" t="str">
        <f t="shared" si="5"/>
        <v>NA</v>
      </c>
    </row>
    <row r="178" spans="1:44" ht="14.4" x14ac:dyDescent="0.3">
      <c r="A178" s="2">
        <v>9</v>
      </c>
      <c r="B178" s="2" t="s">
        <v>75</v>
      </c>
      <c r="C178" s="3">
        <v>14</v>
      </c>
      <c r="D178" s="3">
        <v>2</v>
      </c>
      <c r="E178" s="3" t="s">
        <v>60</v>
      </c>
      <c r="F178" s="3" t="s">
        <v>29</v>
      </c>
      <c r="G178" s="3" t="s">
        <v>29</v>
      </c>
      <c r="H178" s="3" t="s">
        <v>29</v>
      </c>
      <c r="I178" s="3" t="s">
        <v>29</v>
      </c>
      <c r="J178" s="3" t="s">
        <v>29</v>
      </c>
      <c r="K178" s="3" t="s">
        <v>29</v>
      </c>
      <c r="L178" s="3">
        <v>8</v>
      </c>
      <c r="M178" s="3" t="s">
        <v>29</v>
      </c>
      <c r="P178" s="9" t="s">
        <v>29</v>
      </c>
      <c r="Q178" s="9" t="s">
        <v>29</v>
      </c>
      <c r="R178" s="9" t="s">
        <v>29</v>
      </c>
      <c r="S178" s="9" t="s">
        <v>29</v>
      </c>
      <c r="T178" s="9" t="s">
        <v>29</v>
      </c>
      <c r="U178" s="9" t="s">
        <v>29</v>
      </c>
      <c r="V178" s="16" t="s">
        <v>29</v>
      </c>
      <c r="W178" s="16" t="s">
        <v>29</v>
      </c>
      <c r="X178" s="16" t="s">
        <v>29</v>
      </c>
      <c r="Y178" s="16" t="s">
        <v>29</v>
      </c>
      <c r="AB178" s="9" t="s">
        <v>29</v>
      </c>
      <c r="AC178" s="9" t="s">
        <v>29</v>
      </c>
      <c r="AG178">
        <f>AK178</f>
        <v>8</v>
      </c>
      <c r="AK178">
        <f>L178</f>
        <v>8</v>
      </c>
      <c r="AM178" s="16" t="s">
        <v>29</v>
      </c>
      <c r="AN178" s="16" t="s">
        <v>29</v>
      </c>
      <c r="AO178" s="16" t="s">
        <v>29</v>
      </c>
      <c r="AP178" s="16" t="s">
        <v>29</v>
      </c>
      <c r="AQ178" t="str">
        <f t="shared" si="4"/>
        <v>NA</v>
      </c>
      <c r="AR178" t="str">
        <f t="shared" si="5"/>
        <v>NA</v>
      </c>
    </row>
    <row r="179" spans="1:44" ht="14.4" x14ac:dyDescent="0.3">
      <c r="A179" s="2">
        <v>9</v>
      </c>
      <c r="B179" s="2" t="s">
        <v>75</v>
      </c>
      <c r="C179" s="3">
        <v>21</v>
      </c>
      <c r="D179" s="3">
        <v>3</v>
      </c>
      <c r="E179" s="3" t="s">
        <v>60</v>
      </c>
      <c r="F179" s="3" t="s">
        <v>29</v>
      </c>
      <c r="G179" s="3" t="s">
        <v>29</v>
      </c>
      <c r="H179" s="3" t="s">
        <v>29</v>
      </c>
      <c r="I179" s="3" t="s">
        <v>29</v>
      </c>
      <c r="J179" s="3" t="s">
        <v>29</v>
      </c>
      <c r="K179" s="3" t="s">
        <v>29</v>
      </c>
      <c r="L179" s="3">
        <v>10</v>
      </c>
      <c r="M179" s="3" t="s">
        <v>29</v>
      </c>
      <c r="P179" s="9" t="s">
        <v>29</v>
      </c>
      <c r="Q179" s="9" t="s">
        <v>29</v>
      </c>
      <c r="R179" s="9" t="s">
        <v>29</v>
      </c>
      <c r="S179" s="9" t="s">
        <v>29</v>
      </c>
      <c r="T179" s="9" t="s">
        <v>29</v>
      </c>
      <c r="U179" s="9" t="s">
        <v>29</v>
      </c>
      <c r="V179" s="16" t="s">
        <v>29</v>
      </c>
      <c r="W179" s="16" t="s">
        <v>29</v>
      </c>
      <c r="X179" s="16" t="s">
        <v>29</v>
      </c>
      <c r="Y179" s="16" t="s">
        <v>29</v>
      </c>
      <c r="AB179" s="9" t="s">
        <v>29</v>
      </c>
      <c r="AC179" s="9" t="s">
        <v>29</v>
      </c>
      <c r="AG179">
        <f>AK179</f>
        <v>10</v>
      </c>
      <c r="AK179">
        <f>L179</f>
        <v>10</v>
      </c>
      <c r="AM179" s="16" t="s">
        <v>29</v>
      </c>
      <c r="AN179" s="16" t="s">
        <v>29</v>
      </c>
      <c r="AO179" s="16" t="s">
        <v>29</v>
      </c>
      <c r="AP179" s="16" t="s">
        <v>29</v>
      </c>
      <c r="AQ179" t="str">
        <f t="shared" si="4"/>
        <v>NA</v>
      </c>
      <c r="AR179" t="str">
        <f t="shared" si="5"/>
        <v>NA</v>
      </c>
    </row>
    <row r="180" spans="1:44" ht="14.4" x14ac:dyDescent="0.3">
      <c r="A180" s="2">
        <v>9</v>
      </c>
      <c r="B180" s="2" t="s">
        <v>75</v>
      </c>
      <c r="C180" s="3">
        <v>28</v>
      </c>
      <c r="D180" s="3">
        <v>4</v>
      </c>
      <c r="E180" s="3" t="s">
        <v>60</v>
      </c>
      <c r="F180" s="3" t="s">
        <v>29</v>
      </c>
      <c r="G180" s="3" t="s">
        <v>29</v>
      </c>
      <c r="H180" s="3" t="s">
        <v>29</v>
      </c>
      <c r="I180" s="3" t="s">
        <v>29</v>
      </c>
      <c r="J180" s="3" t="s">
        <v>29</v>
      </c>
      <c r="K180" s="3" t="s">
        <v>29</v>
      </c>
      <c r="L180" s="3">
        <v>12</v>
      </c>
      <c r="M180" s="3" t="s">
        <v>29</v>
      </c>
      <c r="P180" s="9" t="s">
        <v>29</v>
      </c>
      <c r="Q180" s="9" t="s">
        <v>29</v>
      </c>
      <c r="R180" s="9" t="s">
        <v>29</v>
      </c>
      <c r="S180" s="9" t="s">
        <v>29</v>
      </c>
      <c r="T180" s="9" t="s">
        <v>29</v>
      </c>
      <c r="U180" s="9" t="s">
        <v>29</v>
      </c>
      <c r="V180" s="16" t="s">
        <v>29</v>
      </c>
      <c r="W180" s="16" t="s">
        <v>29</v>
      </c>
      <c r="X180" s="16" t="s">
        <v>29</v>
      </c>
      <c r="Y180" s="16" t="s">
        <v>29</v>
      </c>
      <c r="AB180" s="9" t="s">
        <v>29</v>
      </c>
      <c r="AC180" s="9" t="s">
        <v>29</v>
      </c>
      <c r="AG180">
        <f>AK180</f>
        <v>12</v>
      </c>
      <c r="AK180">
        <f>L180</f>
        <v>12</v>
      </c>
      <c r="AM180" s="16" t="s">
        <v>29</v>
      </c>
      <c r="AN180" s="16" t="s">
        <v>29</v>
      </c>
      <c r="AO180" s="16" t="s">
        <v>29</v>
      </c>
      <c r="AP180" s="16" t="s">
        <v>29</v>
      </c>
      <c r="AQ180" t="str">
        <f t="shared" si="4"/>
        <v>NA</v>
      </c>
      <c r="AR180" t="str">
        <f t="shared" si="5"/>
        <v>NA</v>
      </c>
    </row>
    <row r="181" spans="1:44" ht="14.4" x14ac:dyDescent="0.3">
      <c r="A181" s="2">
        <v>9</v>
      </c>
      <c r="B181" s="2" t="s">
        <v>75</v>
      </c>
      <c r="C181" s="3">
        <v>35</v>
      </c>
      <c r="D181" s="3">
        <v>5</v>
      </c>
      <c r="E181" s="3" t="s">
        <v>60</v>
      </c>
      <c r="F181" s="3" t="s">
        <v>29</v>
      </c>
      <c r="G181" s="3" t="s">
        <v>29</v>
      </c>
      <c r="H181" s="3" t="s">
        <v>29</v>
      </c>
      <c r="I181" s="3" t="s">
        <v>29</v>
      </c>
      <c r="J181" s="3" t="s">
        <v>29</v>
      </c>
      <c r="K181" s="3" t="s">
        <v>29</v>
      </c>
      <c r="L181" s="3">
        <v>15</v>
      </c>
      <c r="M181" s="3" t="s">
        <v>29</v>
      </c>
      <c r="P181" s="9" t="s">
        <v>29</v>
      </c>
      <c r="Q181" s="9" t="s">
        <v>29</v>
      </c>
      <c r="R181" s="9" t="s">
        <v>29</v>
      </c>
      <c r="S181" s="9" t="s">
        <v>29</v>
      </c>
      <c r="T181" s="9" t="s">
        <v>29</v>
      </c>
      <c r="U181" s="9" t="s">
        <v>29</v>
      </c>
      <c r="V181" s="16" t="s">
        <v>29</v>
      </c>
      <c r="W181" s="16" t="s">
        <v>29</v>
      </c>
      <c r="X181" s="16" t="s">
        <v>29</v>
      </c>
      <c r="Y181" s="16" t="s">
        <v>29</v>
      </c>
      <c r="AB181" s="9" t="s">
        <v>29</v>
      </c>
      <c r="AC181" s="9" t="s">
        <v>29</v>
      </c>
      <c r="AG181">
        <f>AK181</f>
        <v>15</v>
      </c>
      <c r="AK181">
        <f>L181</f>
        <v>15</v>
      </c>
      <c r="AM181" s="16" t="s">
        <v>29</v>
      </c>
      <c r="AN181" s="16" t="s">
        <v>29</v>
      </c>
      <c r="AO181" s="16" t="s">
        <v>29</v>
      </c>
      <c r="AP181" s="16" t="s">
        <v>29</v>
      </c>
      <c r="AQ181" t="str">
        <f t="shared" si="4"/>
        <v>NA</v>
      </c>
      <c r="AR181" t="str">
        <f t="shared" si="5"/>
        <v>NA</v>
      </c>
    </row>
    <row r="182" spans="1:44" ht="14.4" x14ac:dyDescent="0.3">
      <c r="A182" s="2">
        <v>25</v>
      </c>
      <c r="B182" s="2" t="s">
        <v>63</v>
      </c>
      <c r="C182" s="3">
        <v>7</v>
      </c>
      <c r="D182" s="3">
        <v>1</v>
      </c>
      <c r="E182" s="3" t="s">
        <v>60</v>
      </c>
      <c r="F182" s="3" t="s">
        <v>29</v>
      </c>
      <c r="G182" s="3" t="s">
        <v>29</v>
      </c>
      <c r="H182" s="3" t="s">
        <v>29</v>
      </c>
      <c r="I182" s="3" t="s">
        <v>29</v>
      </c>
      <c r="J182" s="3" t="s">
        <v>29</v>
      </c>
      <c r="K182" s="3" t="s">
        <v>29</v>
      </c>
      <c r="L182" s="3" t="s">
        <v>29</v>
      </c>
      <c r="M182" s="3" t="s">
        <v>29</v>
      </c>
      <c r="P182" s="9" t="s">
        <v>29</v>
      </c>
      <c r="Q182" s="9" t="s">
        <v>29</v>
      </c>
      <c r="R182" s="9" t="s">
        <v>29</v>
      </c>
      <c r="S182" s="9" t="s">
        <v>29</v>
      </c>
      <c r="T182" s="9" t="s">
        <v>29</v>
      </c>
      <c r="U182" s="9" t="s">
        <v>29</v>
      </c>
      <c r="V182" s="16" t="s">
        <v>29</v>
      </c>
      <c r="W182" s="16" t="s">
        <v>29</v>
      </c>
      <c r="X182" s="16" t="s">
        <v>29</v>
      </c>
      <c r="Y182" s="16" t="s">
        <v>29</v>
      </c>
      <c r="AB182" s="9" t="s">
        <v>29</v>
      </c>
      <c r="AC182" s="9" t="s">
        <v>29</v>
      </c>
      <c r="AG182" t="str">
        <f>AK182</f>
        <v>NA</v>
      </c>
      <c r="AK182" t="str">
        <f>L182</f>
        <v>NA</v>
      </c>
      <c r="AM182" s="16" t="s">
        <v>29</v>
      </c>
      <c r="AN182" s="16" t="s">
        <v>29</v>
      </c>
      <c r="AO182" s="16" t="s">
        <v>29</v>
      </c>
      <c r="AP182" s="16" t="s">
        <v>29</v>
      </c>
      <c r="AQ182" t="str">
        <f t="shared" si="4"/>
        <v>NA</v>
      </c>
      <c r="AR182" t="str">
        <f t="shared" si="5"/>
        <v>NA</v>
      </c>
    </row>
    <row r="183" spans="1:44" ht="14.4" x14ac:dyDescent="0.3">
      <c r="A183" s="2">
        <v>25</v>
      </c>
      <c r="B183" s="2" t="s">
        <v>63</v>
      </c>
      <c r="C183" s="3">
        <v>14</v>
      </c>
      <c r="D183" s="3">
        <v>2</v>
      </c>
      <c r="E183" s="3" t="s">
        <v>60</v>
      </c>
      <c r="F183" s="3" t="s">
        <v>29</v>
      </c>
      <c r="G183" s="3" t="s">
        <v>29</v>
      </c>
      <c r="H183" s="3" t="s">
        <v>29</v>
      </c>
      <c r="I183" s="3" t="s">
        <v>29</v>
      </c>
      <c r="J183" s="3" t="s">
        <v>29</v>
      </c>
      <c r="K183" s="3" t="s">
        <v>29</v>
      </c>
      <c r="L183" s="3">
        <v>12</v>
      </c>
      <c r="M183" s="3" t="s">
        <v>29</v>
      </c>
      <c r="P183" s="9" t="s">
        <v>29</v>
      </c>
      <c r="Q183" s="9" t="s">
        <v>29</v>
      </c>
      <c r="R183" s="9" t="s">
        <v>29</v>
      </c>
      <c r="S183" s="9" t="s">
        <v>29</v>
      </c>
      <c r="T183" s="9" t="s">
        <v>29</v>
      </c>
      <c r="U183" s="9" t="s">
        <v>29</v>
      </c>
      <c r="V183" s="16" t="s">
        <v>29</v>
      </c>
      <c r="W183" s="16" t="s">
        <v>29</v>
      </c>
      <c r="X183" s="16" t="s">
        <v>29</v>
      </c>
      <c r="Y183" s="16" t="s">
        <v>29</v>
      </c>
      <c r="AB183" s="9" t="s">
        <v>29</v>
      </c>
      <c r="AC183" s="9" t="s">
        <v>29</v>
      </c>
      <c r="AG183">
        <f>AK183</f>
        <v>12</v>
      </c>
      <c r="AK183">
        <f>L183</f>
        <v>12</v>
      </c>
      <c r="AM183" s="16" t="s">
        <v>29</v>
      </c>
      <c r="AN183" s="16" t="s">
        <v>29</v>
      </c>
      <c r="AO183" s="16" t="s">
        <v>29</v>
      </c>
      <c r="AP183" s="16" t="s">
        <v>29</v>
      </c>
      <c r="AQ183" t="str">
        <f t="shared" si="4"/>
        <v>NA</v>
      </c>
      <c r="AR183" t="str">
        <f t="shared" si="5"/>
        <v>NA</v>
      </c>
    </row>
    <row r="184" spans="1:44" ht="14.4" x14ac:dyDescent="0.3">
      <c r="A184" s="2">
        <v>25</v>
      </c>
      <c r="B184" s="2" t="s">
        <v>63</v>
      </c>
      <c r="C184" s="3">
        <v>21</v>
      </c>
      <c r="D184" s="3">
        <v>3</v>
      </c>
      <c r="E184" s="3" t="s">
        <v>60</v>
      </c>
      <c r="F184" s="3" t="s">
        <v>29</v>
      </c>
      <c r="G184" s="3" t="s">
        <v>29</v>
      </c>
      <c r="H184" s="3" t="s">
        <v>29</v>
      </c>
      <c r="I184" s="3" t="s">
        <v>29</v>
      </c>
      <c r="J184" s="3" t="s">
        <v>29</v>
      </c>
      <c r="K184" s="3" t="s">
        <v>29</v>
      </c>
      <c r="L184" s="3">
        <v>22</v>
      </c>
      <c r="M184" s="3" t="s">
        <v>29</v>
      </c>
      <c r="P184" s="9" t="s">
        <v>29</v>
      </c>
      <c r="Q184" s="9" t="s">
        <v>29</v>
      </c>
      <c r="R184" s="9" t="s">
        <v>29</v>
      </c>
      <c r="S184" s="9" t="s">
        <v>29</v>
      </c>
      <c r="T184" s="9" t="s">
        <v>29</v>
      </c>
      <c r="U184" s="9" t="s">
        <v>29</v>
      </c>
      <c r="V184" s="16" t="s">
        <v>29</v>
      </c>
      <c r="W184" s="16" t="s">
        <v>29</v>
      </c>
      <c r="X184" s="16" t="s">
        <v>29</v>
      </c>
      <c r="Y184" s="16" t="s">
        <v>29</v>
      </c>
      <c r="AB184" s="9" t="s">
        <v>29</v>
      </c>
      <c r="AC184" s="9" t="s">
        <v>29</v>
      </c>
      <c r="AG184">
        <f>AK184</f>
        <v>22</v>
      </c>
      <c r="AK184">
        <f>L184</f>
        <v>22</v>
      </c>
      <c r="AM184" s="16" t="s">
        <v>29</v>
      </c>
      <c r="AN184" s="16" t="s">
        <v>29</v>
      </c>
      <c r="AO184" s="16" t="s">
        <v>29</v>
      </c>
      <c r="AP184" s="16" t="s">
        <v>29</v>
      </c>
      <c r="AQ184" t="str">
        <f t="shared" si="4"/>
        <v>NA</v>
      </c>
      <c r="AR184" t="str">
        <f t="shared" si="5"/>
        <v>NA</v>
      </c>
    </row>
    <row r="185" spans="1:44" ht="14.4" x14ac:dyDescent="0.3">
      <c r="A185" s="2">
        <v>25</v>
      </c>
      <c r="B185" s="2" t="s">
        <v>63</v>
      </c>
      <c r="C185" s="3">
        <v>28</v>
      </c>
      <c r="D185" s="3">
        <v>4</v>
      </c>
      <c r="E185" s="3" t="s">
        <v>60</v>
      </c>
      <c r="F185" s="3" t="s">
        <v>29</v>
      </c>
      <c r="G185" s="3" t="s">
        <v>29</v>
      </c>
      <c r="H185" s="3" t="s">
        <v>29</v>
      </c>
      <c r="I185" s="3" t="s">
        <v>29</v>
      </c>
      <c r="J185" s="3" t="s">
        <v>29</v>
      </c>
      <c r="K185" s="3" t="s">
        <v>29</v>
      </c>
      <c r="L185" s="3">
        <v>8</v>
      </c>
      <c r="M185" s="3" t="s">
        <v>29</v>
      </c>
      <c r="P185" s="9" t="s">
        <v>29</v>
      </c>
      <c r="Q185" s="9" t="s">
        <v>29</v>
      </c>
      <c r="R185" s="9" t="s">
        <v>29</v>
      </c>
      <c r="S185" s="9" t="s">
        <v>29</v>
      </c>
      <c r="T185" s="9" t="s">
        <v>29</v>
      </c>
      <c r="U185" s="9" t="s">
        <v>29</v>
      </c>
      <c r="V185" s="16" t="s">
        <v>29</v>
      </c>
      <c r="W185" s="16" t="s">
        <v>29</v>
      </c>
      <c r="X185" s="16" t="s">
        <v>29</v>
      </c>
      <c r="Y185" s="16" t="s">
        <v>29</v>
      </c>
      <c r="AB185" s="9" t="s">
        <v>29</v>
      </c>
      <c r="AC185" s="9" t="s">
        <v>29</v>
      </c>
      <c r="AG185">
        <f>AK185</f>
        <v>8</v>
      </c>
      <c r="AK185">
        <f>L185</f>
        <v>8</v>
      </c>
      <c r="AM185" s="16" t="s">
        <v>29</v>
      </c>
      <c r="AN185" s="16" t="s">
        <v>29</v>
      </c>
      <c r="AO185" s="16" t="s">
        <v>29</v>
      </c>
      <c r="AP185" s="16" t="s">
        <v>29</v>
      </c>
      <c r="AQ185" t="str">
        <f t="shared" si="4"/>
        <v>NA</v>
      </c>
      <c r="AR185" t="str">
        <f t="shared" si="5"/>
        <v>NA</v>
      </c>
    </row>
    <row r="186" spans="1:44" ht="14.4" x14ac:dyDescent="0.3">
      <c r="A186" s="2">
        <v>25</v>
      </c>
      <c r="B186" s="2" t="s">
        <v>63</v>
      </c>
      <c r="C186" s="3">
        <v>35</v>
      </c>
      <c r="D186" s="3">
        <v>5</v>
      </c>
      <c r="E186" s="3" t="s">
        <v>60</v>
      </c>
      <c r="F186" s="3" t="s">
        <v>29</v>
      </c>
      <c r="G186" s="3" t="s">
        <v>29</v>
      </c>
      <c r="H186" s="3" t="s">
        <v>29</v>
      </c>
      <c r="I186" s="3" t="s">
        <v>29</v>
      </c>
      <c r="J186" s="3" t="s">
        <v>29</v>
      </c>
      <c r="K186" s="3" t="s">
        <v>29</v>
      </c>
      <c r="L186" s="3">
        <v>8</v>
      </c>
      <c r="M186" s="3" t="s">
        <v>29</v>
      </c>
      <c r="P186" s="9" t="s">
        <v>29</v>
      </c>
      <c r="Q186" s="9" t="s">
        <v>29</v>
      </c>
      <c r="R186" s="9" t="s">
        <v>29</v>
      </c>
      <c r="S186" s="9" t="s">
        <v>29</v>
      </c>
      <c r="T186" s="9" t="s">
        <v>29</v>
      </c>
      <c r="U186" s="9" t="s">
        <v>29</v>
      </c>
      <c r="V186" s="16" t="s">
        <v>29</v>
      </c>
      <c r="W186" s="16" t="s">
        <v>29</v>
      </c>
      <c r="X186" s="16" t="s">
        <v>29</v>
      </c>
      <c r="Y186" s="16" t="s">
        <v>29</v>
      </c>
      <c r="AB186" s="9" t="s">
        <v>29</v>
      </c>
      <c r="AC186" s="9" t="s">
        <v>29</v>
      </c>
      <c r="AG186">
        <f>AK186</f>
        <v>8</v>
      </c>
      <c r="AK186">
        <f>L186</f>
        <v>8</v>
      </c>
      <c r="AM186" s="16" t="s">
        <v>29</v>
      </c>
      <c r="AN186" s="16" t="s">
        <v>29</v>
      </c>
      <c r="AO186" s="16" t="s">
        <v>29</v>
      </c>
      <c r="AP186" s="16" t="s">
        <v>29</v>
      </c>
      <c r="AQ186" t="str">
        <f t="shared" si="4"/>
        <v>NA</v>
      </c>
      <c r="AR186" t="str">
        <f t="shared" si="5"/>
        <v>NA</v>
      </c>
    </row>
    <row r="187" spans="1:44" ht="14.4" x14ac:dyDescent="0.3">
      <c r="A187" s="2">
        <v>24</v>
      </c>
      <c r="B187" s="2" t="s">
        <v>80</v>
      </c>
      <c r="C187" s="3">
        <v>7</v>
      </c>
      <c r="D187" s="3">
        <v>1</v>
      </c>
      <c r="E187" s="3" t="s">
        <v>60</v>
      </c>
      <c r="F187" s="3" t="s">
        <v>29</v>
      </c>
      <c r="G187" s="3" t="s">
        <v>29</v>
      </c>
      <c r="H187" s="3" t="s">
        <v>29</v>
      </c>
      <c r="I187" s="3" t="s">
        <v>29</v>
      </c>
      <c r="J187" s="3" t="s">
        <v>29</v>
      </c>
      <c r="K187" s="3" t="s">
        <v>29</v>
      </c>
      <c r="L187" s="3" t="s">
        <v>29</v>
      </c>
      <c r="M187" s="3" t="s">
        <v>29</v>
      </c>
      <c r="P187" s="9" t="s">
        <v>29</v>
      </c>
      <c r="Q187" s="9" t="s">
        <v>29</v>
      </c>
      <c r="R187" s="9" t="s">
        <v>29</v>
      </c>
      <c r="S187" s="9" t="s">
        <v>29</v>
      </c>
      <c r="T187" s="9" t="s">
        <v>29</v>
      </c>
      <c r="U187" s="9" t="s">
        <v>29</v>
      </c>
      <c r="V187" s="16" t="s">
        <v>29</v>
      </c>
      <c r="W187" s="16" t="s">
        <v>29</v>
      </c>
      <c r="X187" s="16" t="s">
        <v>29</v>
      </c>
      <c r="Y187" s="16" t="s">
        <v>29</v>
      </c>
      <c r="AB187" s="9" t="s">
        <v>29</v>
      </c>
      <c r="AC187" s="9" t="s">
        <v>29</v>
      </c>
      <c r="AG187" t="str">
        <f>AK187</f>
        <v>NA</v>
      </c>
      <c r="AK187" t="str">
        <f>L187</f>
        <v>NA</v>
      </c>
      <c r="AM187" s="16" t="s">
        <v>29</v>
      </c>
      <c r="AN187" s="16" t="s">
        <v>29</v>
      </c>
      <c r="AO187" s="16" t="s">
        <v>29</v>
      </c>
      <c r="AP187" s="16" t="s">
        <v>29</v>
      </c>
      <c r="AQ187" t="str">
        <f t="shared" si="4"/>
        <v>NA</v>
      </c>
      <c r="AR187" t="str">
        <f t="shared" si="5"/>
        <v>NA</v>
      </c>
    </row>
    <row r="188" spans="1:44" ht="14.4" x14ac:dyDescent="0.3">
      <c r="A188" s="2">
        <v>24</v>
      </c>
      <c r="B188" s="2" t="s">
        <v>80</v>
      </c>
      <c r="C188" s="3">
        <v>14</v>
      </c>
      <c r="D188" s="3">
        <v>2</v>
      </c>
      <c r="E188" s="3" t="s">
        <v>60</v>
      </c>
      <c r="F188" s="3" t="s">
        <v>29</v>
      </c>
      <c r="G188" s="3" t="s">
        <v>29</v>
      </c>
      <c r="H188" s="3" t="s">
        <v>29</v>
      </c>
      <c r="I188" s="3" t="s">
        <v>29</v>
      </c>
      <c r="J188" s="3" t="s">
        <v>29</v>
      </c>
      <c r="K188" s="3" t="s">
        <v>29</v>
      </c>
      <c r="L188" s="3">
        <v>6</v>
      </c>
      <c r="M188" s="3" t="s">
        <v>29</v>
      </c>
      <c r="P188" s="9" t="s">
        <v>29</v>
      </c>
      <c r="Q188" s="9" t="s">
        <v>29</v>
      </c>
      <c r="R188" s="9" t="s">
        <v>29</v>
      </c>
      <c r="S188" s="9" t="s">
        <v>29</v>
      </c>
      <c r="T188" s="9" t="s">
        <v>29</v>
      </c>
      <c r="U188" s="9" t="s">
        <v>29</v>
      </c>
      <c r="V188" s="16" t="s">
        <v>29</v>
      </c>
      <c r="W188" s="16" t="s">
        <v>29</v>
      </c>
      <c r="X188" s="16" t="s">
        <v>29</v>
      </c>
      <c r="Y188" s="16" t="s">
        <v>29</v>
      </c>
      <c r="AB188" s="9" t="s">
        <v>29</v>
      </c>
      <c r="AC188" s="9" t="s">
        <v>29</v>
      </c>
      <c r="AG188">
        <f>AK188</f>
        <v>6</v>
      </c>
      <c r="AK188">
        <f>L188</f>
        <v>6</v>
      </c>
      <c r="AM188" s="16" t="s">
        <v>29</v>
      </c>
      <c r="AN188" s="16" t="s">
        <v>29</v>
      </c>
      <c r="AO188" s="16" t="s">
        <v>29</v>
      </c>
      <c r="AP188" s="16" t="s">
        <v>29</v>
      </c>
      <c r="AQ188" t="str">
        <f t="shared" si="4"/>
        <v>NA</v>
      </c>
      <c r="AR188" t="str">
        <f t="shared" si="5"/>
        <v>NA</v>
      </c>
    </row>
    <row r="189" spans="1:44" ht="14.4" x14ac:dyDescent="0.3">
      <c r="A189" s="2">
        <v>24</v>
      </c>
      <c r="B189" s="2" t="s">
        <v>80</v>
      </c>
      <c r="C189" s="3">
        <v>21</v>
      </c>
      <c r="D189" s="3">
        <v>3</v>
      </c>
      <c r="E189" s="3" t="s">
        <v>60</v>
      </c>
      <c r="F189" s="3" t="s">
        <v>29</v>
      </c>
      <c r="G189" s="3" t="s">
        <v>29</v>
      </c>
      <c r="H189" s="3" t="s">
        <v>29</v>
      </c>
      <c r="I189" s="3" t="s">
        <v>29</v>
      </c>
      <c r="J189" s="3" t="s">
        <v>29</v>
      </c>
      <c r="K189" s="3" t="s">
        <v>29</v>
      </c>
      <c r="L189" s="3">
        <v>15</v>
      </c>
      <c r="M189" s="3" t="s">
        <v>29</v>
      </c>
      <c r="P189" s="9" t="s">
        <v>29</v>
      </c>
      <c r="Q189" s="9" t="s">
        <v>29</v>
      </c>
      <c r="R189" s="9" t="s">
        <v>29</v>
      </c>
      <c r="S189" s="9" t="s">
        <v>29</v>
      </c>
      <c r="T189" s="9" t="s">
        <v>29</v>
      </c>
      <c r="U189" s="9" t="s">
        <v>29</v>
      </c>
      <c r="V189" s="16" t="s">
        <v>29</v>
      </c>
      <c r="W189" s="16" t="s">
        <v>29</v>
      </c>
      <c r="X189" s="16" t="s">
        <v>29</v>
      </c>
      <c r="Y189" s="16" t="s">
        <v>29</v>
      </c>
      <c r="AB189" s="9" t="s">
        <v>29</v>
      </c>
      <c r="AC189" s="9" t="s">
        <v>29</v>
      </c>
      <c r="AG189">
        <f>AK189</f>
        <v>15</v>
      </c>
      <c r="AK189">
        <f>L189</f>
        <v>15</v>
      </c>
      <c r="AL189" s="3" t="s">
        <v>69</v>
      </c>
      <c r="AM189" s="16" t="s">
        <v>29</v>
      </c>
      <c r="AN189" s="16" t="s">
        <v>29</v>
      </c>
      <c r="AO189" s="16" t="s">
        <v>29</v>
      </c>
      <c r="AP189" s="16" t="s">
        <v>29</v>
      </c>
      <c r="AQ189" t="str">
        <f t="shared" si="4"/>
        <v>NA</v>
      </c>
      <c r="AR189" t="str">
        <f t="shared" si="5"/>
        <v>NA</v>
      </c>
    </row>
    <row r="190" spans="1:44" ht="14.4" x14ac:dyDescent="0.3">
      <c r="A190" s="2">
        <v>24</v>
      </c>
      <c r="B190" s="2" t="s">
        <v>80</v>
      </c>
      <c r="C190" s="3">
        <v>28</v>
      </c>
      <c r="D190" s="3">
        <v>4</v>
      </c>
      <c r="E190" s="3" t="s">
        <v>60</v>
      </c>
      <c r="F190" s="3" t="s">
        <v>29</v>
      </c>
      <c r="G190" s="3" t="s">
        <v>29</v>
      </c>
      <c r="H190" s="3" t="s">
        <v>29</v>
      </c>
      <c r="I190" s="3" t="s">
        <v>29</v>
      </c>
      <c r="J190" s="3" t="s">
        <v>29</v>
      </c>
      <c r="K190" s="3" t="s">
        <v>29</v>
      </c>
      <c r="L190" s="3">
        <v>9</v>
      </c>
      <c r="M190" s="3" t="s">
        <v>29</v>
      </c>
      <c r="P190" s="9" t="s">
        <v>29</v>
      </c>
      <c r="Q190" s="9" t="s">
        <v>29</v>
      </c>
      <c r="R190" s="9" t="s">
        <v>29</v>
      </c>
      <c r="S190" s="9" t="s">
        <v>29</v>
      </c>
      <c r="T190" s="9" t="s">
        <v>29</v>
      </c>
      <c r="U190" s="9" t="s">
        <v>29</v>
      </c>
      <c r="V190" s="16" t="s">
        <v>29</v>
      </c>
      <c r="W190" s="16" t="s">
        <v>29</v>
      </c>
      <c r="X190" s="16" t="s">
        <v>29</v>
      </c>
      <c r="Y190" s="16" t="s">
        <v>29</v>
      </c>
      <c r="AB190" s="9" t="s">
        <v>29</v>
      </c>
      <c r="AC190" s="9" t="s">
        <v>29</v>
      </c>
      <c r="AG190">
        <f>AK190</f>
        <v>9</v>
      </c>
      <c r="AK190">
        <f>L190</f>
        <v>9</v>
      </c>
      <c r="AM190" s="16" t="s">
        <v>29</v>
      </c>
      <c r="AN190" s="16" t="s">
        <v>29</v>
      </c>
      <c r="AO190" s="16" t="s">
        <v>29</v>
      </c>
      <c r="AP190" s="16" t="s">
        <v>29</v>
      </c>
      <c r="AQ190" t="str">
        <f t="shared" si="4"/>
        <v>NA</v>
      </c>
      <c r="AR190" t="str">
        <f t="shared" si="5"/>
        <v>NA</v>
      </c>
    </row>
    <row r="191" spans="1:44" ht="14.4" x14ac:dyDescent="0.3">
      <c r="A191" s="2">
        <v>24</v>
      </c>
      <c r="B191" s="2" t="s">
        <v>80</v>
      </c>
      <c r="C191" s="3">
        <v>35</v>
      </c>
      <c r="D191" s="3">
        <v>5</v>
      </c>
      <c r="E191" s="3" t="s">
        <v>60</v>
      </c>
      <c r="F191" s="3" t="s">
        <v>29</v>
      </c>
      <c r="G191" s="3" t="s">
        <v>29</v>
      </c>
      <c r="H191" s="3" t="s">
        <v>29</v>
      </c>
      <c r="I191" s="3" t="s">
        <v>29</v>
      </c>
      <c r="J191" s="3" t="s">
        <v>29</v>
      </c>
      <c r="K191" s="3" t="s">
        <v>29</v>
      </c>
      <c r="L191" s="3" t="s">
        <v>29</v>
      </c>
      <c r="M191" s="3" t="s">
        <v>29</v>
      </c>
      <c r="P191" s="9" t="s">
        <v>29</v>
      </c>
      <c r="Q191" s="9" t="s">
        <v>29</v>
      </c>
      <c r="R191" s="9" t="s">
        <v>29</v>
      </c>
      <c r="S191" s="9" t="s">
        <v>29</v>
      </c>
      <c r="T191" s="9" t="s">
        <v>29</v>
      </c>
      <c r="U191" s="9" t="s">
        <v>29</v>
      </c>
      <c r="V191" s="16" t="s">
        <v>29</v>
      </c>
      <c r="W191" s="16" t="s">
        <v>29</v>
      </c>
      <c r="X191" s="16" t="s">
        <v>29</v>
      </c>
      <c r="Y191" s="16" t="s">
        <v>29</v>
      </c>
      <c r="AB191" s="9" t="s">
        <v>29</v>
      </c>
      <c r="AC191" s="9" t="s">
        <v>29</v>
      </c>
      <c r="AG191" t="str">
        <f>AK191</f>
        <v>NA</v>
      </c>
      <c r="AK191" t="str">
        <f>L191</f>
        <v>NA</v>
      </c>
      <c r="AM191" s="16" t="s">
        <v>29</v>
      </c>
      <c r="AN191" s="16" t="s">
        <v>29</v>
      </c>
      <c r="AO191" s="16" t="s">
        <v>29</v>
      </c>
      <c r="AP191" s="16" t="s">
        <v>29</v>
      </c>
      <c r="AQ191" t="str">
        <f t="shared" si="4"/>
        <v>NA</v>
      </c>
      <c r="AR191" t="str">
        <f t="shared" si="5"/>
        <v>NA</v>
      </c>
    </row>
    <row r="192" spans="1:44" ht="14.4" x14ac:dyDescent="0.3">
      <c r="A192" s="2">
        <v>14</v>
      </c>
      <c r="B192" s="2" t="s">
        <v>64</v>
      </c>
      <c r="C192" s="3">
        <v>7</v>
      </c>
      <c r="D192" s="3">
        <v>1</v>
      </c>
      <c r="E192" s="3" t="s">
        <v>60</v>
      </c>
      <c r="F192" s="3" t="s">
        <v>29</v>
      </c>
      <c r="G192" s="3" t="s">
        <v>29</v>
      </c>
      <c r="H192" s="3" t="s">
        <v>29</v>
      </c>
      <c r="I192" s="3" t="s">
        <v>29</v>
      </c>
      <c r="J192" s="3" t="s">
        <v>29</v>
      </c>
      <c r="K192" s="3" t="s">
        <v>29</v>
      </c>
      <c r="L192" s="3" t="s">
        <v>29</v>
      </c>
      <c r="M192" s="3" t="s">
        <v>29</v>
      </c>
      <c r="P192" s="9" t="s">
        <v>29</v>
      </c>
      <c r="Q192" s="9" t="s">
        <v>29</v>
      </c>
      <c r="R192" s="9" t="s">
        <v>29</v>
      </c>
      <c r="S192" s="9" t="s">
        <v>29</v>
      </c>
      <c r="T192" s="9" t="s">
        <v>29</v>
      </c>
      <c r="U192" s="9" t="s">
        <v>29</v>
      </c>
      <c r="V192" s="16" t="s">
        <v>29</v>
      </c>
      <c r="W192" s="16" t="s">
        <v>29</v>
      </c>
      <c r="X192" s="16" t="s">
        <v>29</v>
      </c>
      <c r="Y192" s="16" t="s">
        <v>29</v>
      </c>
      <c r="AB192" s="9" t="s">
        <v>29</v>
      </c>
      <c r="AC192" s="9" t="s">
        <v>29</v>
      </c>
      <c r="AG192" t="str">
        <f>AK192</f>
        <v>NA</v>
      </c>
      <c r="AK192" t="str">
        <f>L192</f>
        <v>NA</v>
      </c>
      <c r="AM192" s="16" t="s">
        <v>29</v>
      </c>
      <c r="AN192" s="16" t="s">
        <v>29</v>
      </c>
      <c r="AO192" s="16" t="s">
        <v>29</v>
      </c>
      <c r="AP192" s="16" t="s">
        <v>29</v>
      </c>
      <c r="AQ192" t="str">
        <f t="shared" si="4"/>
        <v>NA</v>
      </c>
      <c r="AR192" t="str">
        <f t="shared" si="5"/>
        <v>NA</v>
      </c>
    </row>
    <row r="193" spans="1:44" ht="14.4" x14ac:dyDescent="0.3">
      <c r="A193" s="2">
        <v>14</v>
      </c>
      <c r="B193" s="2" t="s">
        <v>64</v>
      </c>
      <c r="C193" s="3">
        <v>14</v>
      </c>
      <c r="D193" s="3">
        <v>2</v>
      </c>
      <c r="E193" s="3" t="s">
        <v>60</v>
      </c>
      <c r="F193" s="3" t="s">
        <v>29</v>
      </c>
      <c r="G193" s="3" t="s">
        <v>29</v>
      </c>
      <c r="H193" s="3" t="s">
        <v>29</v>
      </c>
      <c r="I193" s="3" t="s">
        <v>29</v>
      </c>
      <c r="J193" s="3" t="s">
        <v>29</v>
      </c>
      <c r="K193" s="3" t="s">
        <v>29</v>
      </c>
      <c r="L193" s="3">
        <v>8</v>
      </c>
      <c r="M193" s="3" t="s">
        <v>29</v>
      </c>
      <c r="P193" s="9" t="s">
        <v>29</v>
      </c>
      <c r="Q193" s="9" t="s">
        <v>29</v>
      </c>
      <c r="R193" s="9" t="s">
        <v>29</v>
      </c>
      <c r="S193" s="9" t="s">
        <v>29</v>
      </c>
      <c r="T193" s="9" t="s">
        <v>29</v>
      </c>
      <c r="U193" s="9" t="s">
        <v>29</v>
      </c>
      <c r="V193" s="16" t="s">
        <v>29</v>
      </c>
      <c r="W193" s="16" t="s">
        <v>29</v>
      </c>
      <c r="X193" s="16" t="s">
        <v>29</v>
      </c>
      <c r="Y193" s="16" t="s">
        <v>29</v>
      </c>
      <c r="AB193" s="9" t="s">
        <v>29</v>
      </c>
      <c r="AC193" s="9" t="s">
        <v>29</v>
      </c>
      <c r="AG193">
        <f>AK193</f>
        <v>8</v>
      </c>
      <c r="AK193">
        <f>L193</f>
        <v>8</v>
      </c>
      <c r="AM193" s="16" t="s">
        <v>29</v>
      </c>
      <c r="AN193" s="16" t="s">
        <v>29</v>
      </c>
      <c r="AO193" s="16" t="s">
        <v>29</v>
      </c>
      <c r="AP193" s="16" t="s">
        <v>29</v>
      </c>
      <c r="AQ193" t="str">
        <f t="shared" si="4"/>
        <v>NA</v>
      </c>
      <c r="AR193" t="str">
        <f t="shared" si="5"/>
        <v>NA</v>
      </c>
    </row>
    <row r="194" spans="1:44" ht="14.4" x14ac:dyDescent="0.3">
      <c r="A194" s="2">
        <v>14</v>
      </c>
      <c r="B194" s="2" t="s">
        <v>64</v>
      </c>
      <c r="C194" s="3">
        <v>21</v>
      </c>
      <c r="D194" s="3">
        <v>3</v>
      </c>
      <c r="E194" s="3" t="s">
        <v>60</v>
      </c>
      <c r="F194" s="3" t="s">
        <v>29</v>
      </c>
      <c r="G194" s="3" t="s">
        <v>29</v>
      </c>
      <c r="H194" s="3" t="s">
        <v>29</v>
      </c>
      <c r="I194" s="3" t="s">
        <v>29</v>
      </c>
      <c r="J194" s="3" t="s">
        <v>29</v>
      </c>
      <c r="K194" s="3" t="s">
        <v>29</v>
      </c>
      <c r="L194" s="3">
        <v>19</v>
      </c>
      <c r="M194" s="3" t="s">
        <v>29</v>
      </c>
      <c r="P194" s="9" t="s">
        <v>29</v>
      </c>
      <c r="Q194" s="9" t="s">
        <v>29</v>
      </c>
      <c r="R194" s="9" t="s">
        <v>29</v>
      </c>
      <c r="S194" s="9" t="s">
        <v>29</v>
      </c>
      <c r="T194" s="9" t="s">
        <v>29</v>
      </c>
      <c r="U194" s="9" t="s">
        <v>29</v>
      </c>
      <c r="V194" s="16" t="s">
        <v>29</v>
      </c>
      <c r="W194" s="16" t="s">
        <v>29</v>
      </c>
      <c r="X194" s="16" t="s">
        <v>29</v>
      </c>
      <c r="Y194" s="16" t="s">
        <v>29</v>
      </c>
      <c r="AB194" s="9" t="s">
        <v>29</v>
      </c>
      <c r="AC194" s="9" t="s">
        <v>29</v>
      </c>
      <c r="AG194">
        <f>AK194</f>
        <v>19</v>
      </c>
      <c r="AK194">
        <f>L194</f>
        <v>19</v>
      </c>
      <c r="AM194" s="16" t="s">
        <v>29</v>
      </c>
      <c r="AN194" s="16" t="s">
        <v>29</v>
      </c>
      <c r="AO194" s="16" t="s">
        <v>29</v>
      </c>
      <c r="AP194" s="16" t="s">
        <v>29</v>
      </c>
      <c r="AQ194" t="str">
        <f t="shared" si="4"/>
        <v>NA</v>
      </c>
      <c r="AR194" t="str">
        <f t="shared" si="5"/>
        <v>NA</v>
      </c>
    </row>
    <row r="195" spans="1:44" ht="14.4" x14ac:dyDescent="0.3">
      <c r="A195" s="2">
        <v>14</v>
      </c>
      <c r="B195" s="2" t="s">
        <v>64</v>
      </c>
      <c r="C195" s="3">
        <v>28</v>
      </c>
      <c r="D195" s="3">
        <v>4</v>
      </c>
      <c r="E195" s="3" t="s">
        <v>60</v>
      </c>
      <c r="F195" s="3" t="s">
        <v>29</v>
      </c>
      <c r="G195" s="3" t="s">
        <v>29</v>
      </c>
      <c r="H195" s="3" t="s">
        <v>29</v>
      </c>
      <c r="I195" s="3" t="s">
        <v>29</v>
      </c>
      <c r="J195" s="3" t="s">
        <v>29</v>
      </c>
      <c r="K195" s="3" t="s">
        <v>29</v>
      </c>
      <c r="L195" s="3">
        <v>15</v>
      </c>
      <c r="M195" s="3" t="s">
        <v>29</v>
      </c>
      <c r="P195" s="9" t="s">
        <v>29</v>
      </c>
      <c r="Q195" s="9" t="s">
        <v>29</v>
      </c>
      <c r="R195" s="9" t="s">
        <v>29</v>
      </c>
      <c r="S195" s="9" t="s">
        <v>29</v>
      </c>
      <c r="T195" s="9" t="s">
        <v>29</v>
      </c>
      <c r="U195" s="9" t="s">
        <v>29</v>
      </c>
      <c r="V195" s="16" t="s">
        <v>29</v>
      </c>
      <c r="W195" s="16" t="s">
        <v>29</v>
      </c>
      <c r="X195" s="16" t="s">
        <v>29</v>
      </c>
      <c r="Y195" s="16" t="s">
        <v>29</v>
      </c>
      <c r="AB195" s="9" t="s">
        <v>29</v>
      </c>
      <c r="AC195" s="9" t="s">
        <v>29</v>
      </c>
      <c r="AG195">
        <f>AK195</f>
        <v>15</v>
      </c>
      <c r="AK195">
        <f>L195</f>
        <v>15</v>
      </c>
      <c r="AM195" s="16" t="s">
        <v>29</v>
      </c>
      <c r="AN195" s="16" t="s">
        <v>29</v>
      </c>
      <c r="AO195" s="16" t="s">
        <v>29</v>
      </c>
      <c r="AP195" s="16" t="s">
        <v>29</v>
      </c>
      <c r="AQ195" t="str">
        <f t="shared" ref="AQ195:AQ251" si="6">AB195</f>
        <v>NA</v>
      </c>
      <c r="AR195" t="str">
        <f t="shared" ref="AR195:AR251" si="7">AC195</f>
        <v>NA</v>
      </c>
    </row>
    <row r="196" spans="1:44" ht="14.4" x14ac:dyDescent="0.3">
      <c r="A196" s="2">
        <v>14</v>
      </c>
      <c r="B196" s="2" t="s">
        <v>64</v>
      </c>
      <c r="C196" s="3">
        <v>35</v>
      </c>
      <c r="D196" s="3">
        <v>5</v>
      </c>
      <c r="E196" s="3" t="s">
        <v>60</v>
      </c>
      <c r="F196" s="3" t="s">
        <v>29</v>
      </c>
      <c r="G196" s="3" t="s">
        <v>29</v>
      </c>
      <c r="H196" s="3" t="s">
        <v>29</v>
      </c>
      <c r="I196" s="3" t="s">
        <v>29</v>
      </c>
      <c r="J196" s="3" t="s">
        <v>29</v>
      </c>
      <c r="K196" s="3" t="s">
        <v>29</v>
      </c>
      <c r="L196" s="3">
        <v>15</v>
      </c>
      <c r="M196" s="3" t="s">
        <v>29</v>
      </c>
      <c r="P196" s="9" t="s">
        <v>29</v>
      </c>
      <c r="Q196" s="9" t="s">
        <v>29</v>
      </c>
      <c r="R196" s="9" t="s">
        <v>29</v>
      </c>
      <c r="S196" s="9" t="s">
        <v>29</v>
      </c>
      <c r="T196" s="9" t="s">
        <v>29</v>
      </c>
      <c r="U196" s="9" t="s">
        <v>29</v>
      </c>
      <c r="V196" s="16" t="s">
        <v>29</v>
      </c>
      <c r="W196" s="16" t="s">
        <v>29</v>
      </c>
      <c r="X196" s="16" t="s">
        <v>29</v>
      </c>
      <c r="Y196" s="16" t="s">
        <v>29</v>
      </c>
      <c r="AB196" s="9" t="s">
        <v>29</v>
      </c>
      <c r="AC196" s="9" t="s">
        <v>29</v>
      </c>
      <c r="AG196">
        <f>AK196</f>
        <v>15</v>
      </c>
      <c r="AK196">
        <f>L196</f>
        <v>15</v>
      </c>
      <c r="AM196" s="16" t="s">
        <v>29</v>
      </c>
      <c r="AN196" s="16" t="s">
        <v>29</v>
      </c>
      <c r="AO196" s="16" t="s">
        <v>29</v>
      </c>
      <c r="AP196" s="16" t="s">
        <v>29</v>
      </c>
      <c r="AQ196" t="str">
        <f t="shared" si="6"/>
        <v>NA</v>
      </c>
      <c r="AR196" t="str">
        <f t="shared" si="7"/>
        <v>NA</v>
      </c>
    </row>
    <row r="197" spans="1:44" ht="14.4" x14ac:dyDescent="0.3">
      <c r="A197" s="2">
        <v>20</v>
      </c>
      <c r="B197" s="2" t="s">
        <v>82</v>
      </c>
      <c r="C197" s="3">
        <v>7</v>
      </c>
      <c r="D197" s="3">
        <v>1</v>
      </c>
      <c r="E197" s="3" t="s">
        <v>60</v>
      </c>
      <c r="F197" s="3" t="s">
        <v>29</v>
      </c>
      <c r="G197" s="3" t="s">
        <v>29</v>
      </c>
      <c r="H197" s="3" t="s">
        <v>29</v>
      </c>
      <c r="I197" s="3" t="s">
        <v>29</v>
      </c>
      <c r="J197" s="3" t="s">
        <v>29</v>
      </c>
      <c r="K197" s="3" t="s">
        <v>29</v>
      </c>
      <c r="L197" s="3" t="s">
        <v>29</v>
      </c>
      <c r="M197" s="3" t="s">
        <v>29</v>
      </c>
      <c r="P197" s="9" t="s">
        <v>29</v>
      </c>
      <c r="Q197" s="9" t="s">
        <v>29</v>
      </c>
      <c r="R197" s="9" t="s">
        <v>29</v>
      </c>
      <c r="S197" s="9" t="s">
        <v>29</v>
      </c>
      <c r="T197" s="9" t="s">
        <v>29</v>
      </c>
      <c r="U197" s="9" t="s">
        <v>29</v>
      </c>
      <c r="V197" s="16" t="s">
        <v>29</v>
      </c>
      <c r="W197" s="16" t="s">
        <v>29</v>
      </c>
      <c r="X197" s="16" t="s">
        <v>29</v>
      </c>
      <c r="Y197" s="16" t="s">
        <v>29</v>
      </c>
      <c r="AB197" s="9" t="s">
        <v>29</v>
      </c>
      <c r="AC197" s="9" t="s">
        <v>29</v>
      </c>
      <c r="AG197" t="str">
        <f>AK197</f>
        <v>NA</v>
      </c>
      <c r="AK197" t="str">
        <f>L197</f>
        <v>NA</v>
      </c>
      <c r="AM197" s="16" t="s">
        <v>29</v>
      </c>
      <c r="AN197" s="16" t="s">
        <v>29</v>
      </c>
      <c r="AO197" s="16" t="s">
        <v>29</v>
      </c>
      <c r="AP197" s="16" t="s">
        <v>29</v>
      </c>
      <c r="AQ197" t="str">
        <f t="shared" si="6"/>
        <v>NA</v>
      </c>
      <c r="AR197" t="str">
        <f t="shared" si="7"/>
        <v>NA</v>
      </c>
    </row>
    <row r="198" spans="1:44" ht="14.4" x14ac:dyDescent="0.3">
      <c r="A198" s="2">
        <v>20</v>
      </c>
      <c r="B198" s="2" t="s">
        <v>82</v>
      </c>
      <c r="C198" s="3">
        <v>14</v>
      </c>
      <c r="D198" s="3">
        <v>2</v>
      </c>
      <c r="E198" s="3" t="s">
        <v>60</v>
      </c>
      <c r="F198" s="3" t="s">
        <v>29</v>
      </c>
      <c r="G198" s="3" t="s">
        <v>29</v>
      </c>
      <c r="H198" s="3" t="s">
        <v>29</v>
      </c>
      <c r="I198" s="3" t="s">
        <v>29</v>
      </c>
      <c r="J198" s="3" t="s">
        <v>29</v>
      </c>
      <c r="K198" s="3" t="s">
        <v>29</v>
      </c>
      <c r="L198" s="3">
        <v>6</v>
      </c>
      <c r="M198" s="3" t="s">
        <v>29</v>
      </c>
      <c r="P198" s="9" t="s">
        <v>29</v>
      </c>
      <c r="Q198" s="9" t="s">
        <v>29</v>
      </c>
      <c r="R198" s="9" t="s">
        <v>29</v>
      </c>
      <c r="S198" s="9" t="s">
        <v>29</v>
      </c>
      <c r="T198" s="9" t="s">
        <v>29</v>
      </c>
      <c r="U198" s="9" t="s">
        <v>29</v>
      </c>
      <c r="V198" s="16" t="s">
        <v>29</v>
      </c>
      <c r="W198" s="16" t="s">
        <v>29</v>
      </c>
      <c r="X198" s="16" t="s">
        <v>29</v>
      </c>
      <c r="Y198" s="16" t="s">
        <v>29</v>
      </c>
      <c r="AB198" s="9" t="s">
        <v>29</v>
      </c>
      <c r="AC198" s="9" t="s">
        <v>29</v>
      </c>
      <c r="AG198">
        <f>AK198</f>
        <v>6</v>
      </c>
      <c r="AK198">
        <f>L198</f>
        <v>6</v>
      </c>
      <c r="AM198" s="16" t="s">
        <v>29</v>
      </c>
      <c r="AN198" s="16" t="s">
        <v>29</v>
      </c>
      <c r="AO198" s="16" t="s">
        <v>29</v>
      </c>
      <c r="AP198" s="16" t="s">
        <v>29</v>
      </c>
      <c r="AQ198" t="str">
        <f t="shared" si="6"/>
        <v>NA</v>
      </c>
      <c r="AR198" t="str">
        <f t="shared" si="7"/>
        <v>NA</v>
      </c>
    </row>
    <row r="199" spans="1:44" ht="14.4" x14ac:dyDescent="0.3">
      <c r="A199" s="2">
        <v>20</v>
      </c>
      <c r="B199" s="2" t="s">
        <v>82</v>
      </c>
      <c r="C199" s="3">
        <v>21</v>
      </c>
      <c r="D199" s="3">
        <v>3</v>
      </c>
      <c r="E199" s="3" t="s">
        <v>60</v>
      </c>
      <c r="F199" s="3" t="s">
        <v>29</v>
      </c>
      <c r="G199" s="3" t="s">
        <v>29</v>
      </c>
      <c r="H199" s="3" t="s">
        <v>29</v>
      </c>
      <c r="I199" s="3" t="s">
        <v>29</v>
      </c>
      <c r="J199" s="3" t="s">
        <v>29</v>
      </c>
      <c r="K199" s="3" t="s">
        <v>29</v>
      </c>
      <c r="L199" s="3">
        <v>14</v>
      </c>
      <c r="M199" s="3" t="s">
        <v>29</v>
      </c>
      <c r="P199" s="9" t="s">
        <v>29</v>
      </c>
      <c r="Q199" s="9" t="s">
        <v>29</v>
      </c>
      <c r="R199" s="9" t="s">
        <v>29</v>
      </c>
      <c r="S199" s="9" t="s">
        <v>29</v>
      </c>
      <c r="T199" s="9" t="s">
        <v>29</v>
      </c>
      <c r="U199" s="9" t="s">
        <v>29</v>
      </c>
      <c r="V199" s="16" t="s">
        <v>29</v>
      </c>
      <c r="W199" s="16" t="s">
        <v>29</v>
      </c>
      <c r="X199" s="16" t="s">
        <v>29</v>
      </c>
      <c r="Y199" s="16" t="s">
        <v>29</v>
      </c>
      <c r="AB199" s="9" t="s">
        <v>29</v>
      </c>
      <c r="AC199" s="9" t="s">
        <v>29</v>
      </c>
      <c r="AG199">
        <f>AK199</f>
        <v>14</v>
      </c>
      <c r="AK199">
        <f>L199</f>
        <v>14</v>
      </c>
      <c r="AM199" s="16" t="s">
        <v>29</v>
      </c>
      <c r="AN199" s="16" t="s">
        <v>29</v>
      </c>
      <c r="AO199" s="16" t="s">
        <v>29</v>
      </c>
      <c r="AP199" s="16" t="s">
        <v>29</v>
      </c>
      <c r="AQ199" t="str">
        <f t="shared" si="6"/>
        <v>NA</v>
      </c>
      <c r="AR199" t="str">
        <f t="shared" si="7"/>
        <v>NA</v>
      </c>
    </row>
    <row r="200" spans="1:44" ht="14.4" x14ac:dyDescent="0.3">
      <c r="A200" s="2">
        <v>20</v>
      </c>
      <c r="B200" s="2" t="s">
        <v>82</v>
      </c>
      <c r="C200" s="3">
        <v>28</v>
      </c>
      <c r="D200" s="3">
        <v>4</v>
      </c>
      <c r="E200" s="3" t="s">
        <v>60</v>
      </c>
      <c r="F200" s="3" t="s">
        <v>29</v>
      </c>
      <c r="G200" s="3" t="s">
        <v>29</v>
      </c>
      <c r="H200" s="3" t="s">
        <v>29</v>
      </c>
      <c r="I200" s="3" t="s">
        <v>29</v>
      </c>
      <c r="J200" s="3" t="s">
        <v>29</v>
      </c>
      <c r="K200" s="3" t="s">
        <v>29</v>
      </c>
      <c r="L200" s="3">
        <v>10</v>
      </c>
      <c r="M200" s="3" t="s">
        <v>29</v>
      </c>
      <c r="P200" s="9" t="s">
        <v>29</v>
      </c>
      <c r="Q200" s="9" t="s">
        <v>29</v>
      </c>
      <c r="R200" s="9" t="s">
        <v>29</v>
      </c>
      <c r="S200" s="9" t="s">
        <v>29</v>
      </c>
      <c r="T200" s="9" t="s">
        <v>29</v>
      </c>
      <c r="U200" s="9" t="s">
        <v>29</v>
      </c>
      <c r="V200" s="16" t="s">
        <v>29</v>
      </c>
      <c r="W200" s="16" t="s">
        <v>29</v>
      </c>
      <c r="X200" s="16" t="s">
        <v>29</v>
      </c>
      <c r="Y200" s="16" t="s">
        <v>29</v>
      </c>
      <c r="AB200" s="9" t="s">
        <v>29</v>
      </c>
      <c r="AC200" s="9" t="s">
        <v>29</v>
      </c>
      <c r="AG200">
        <f>AK200</f>
        <v>10</v>
      </c>
      <c r="AK200">
        <f>L200</f>
        <v>10</v>
      </c>
      <c r="AM200" s="16" t="s">
        <v>29</v>
      </c>
      <c r="AN200" s="16" t="s">
        <v>29</v>
      </c>
      <c r="AO200" s="16" t="s">
        <v>29</v>
      </c>
      <c r="AP200" s="16" t="s">
        <v>29</v>
      </c>
      <c r="AQ200" t="str">
        <f t="shared" si="6"/>
        <v>NA</v>
      </c>
      <c r="AR200" t="str">
        <f t="shared" si="7"/>
        <v>NA</v>
      </c>
    </row>
    <row r="201" spans="1:44" ht="14.4" x14ac:dyDescent="0.3">
      <c r="A201" s="2">
        <v>20</v>
      </c>
      <c r="B201" s="2" t="s">
        <v>82</v>
      </c>
      <c r="C201" s="3">
        <v>35</v>
      </c>
      <c r="D201" s="3">
        <v>5</v>
      </c>
      <c r="E201" s="3" t="s">
        <v>60</v>
      </c>
      <c r="F201" s="3" t="s">
        <v>29</v>
      </c>
      <c r="G201" s="3" t="s">
        <v>29</v>
      </c>
      <c r="H201" s="3" t="s">
        <v>29</v>
      </c>
      <c r="I201" s="3" t="s">
        <v>29</v>
      </c>
      <c r="J201" s="3" t="s">
        <v>29</v>
      </c>
      <c r="K201" s="3" t="s">
        <v>29</v>
      </c>
      <c r="L201" s="3">
        <v>16</v>
      </c>
      <c r="M201" s="3" t="s">
        <v>29</v>
      </c>
      <c r="P201" s="9" t="s">
        <v>29</v>
      </c>
      <c r="Q201" s="9" t="s">
        <v>29</v>
      </c>
      <c r="R201" s="9" t="s">
        <v>29</v>
      </c>
      <c r="S201" s="9" t="s">
        <v>29</v>
      </c>
      <c r="T201" s="9" t="s">
        <v>29</v>
      </c>
      <c r="U201" s="9" t="s">
        <v>29</v>
      </c>
      <c r="V201" s="16" t="s">
        <v>29</v>
      </c>
      <c r="W201" s="16" t="s">
        <v>29</v>
      </c>
      <c r="X201" s="16" t="s">
        <v>29</v>
      </c>
      <c r="Y201" s="16" t="s">
        <v>29</v>
      </c>
      <c r="AB201" s="9" t="s">
        <v>29</v>
      </c>
      <c r="AC201" s="9" t="s">
        <v>29</v>
      </c>
      <c r="AG201">
        <f>AK201</f>
        <v>16</v>
      </c>
      <c r="AK201">
        <f>L201</f>
        <v>16</v>
      </c>
      <c r="AM201" s="16" t="s">
        <v>29</v>
      </c>
      <c r="AN201" s="16" t="s">
        <v>29</v>
      </c>
      <c r="AO201" s="16" t="s">
        <v>29</v>
      </c>
      <c r="AP201" s="16" t="s">
        <v>29</v>
      </c>
      <c r="AQ201" t="str">
        <f t="shared" si="6"/>
        <v>NA</v>
      </c>
      <c r="AR201" t="str">
        <f t="shared" si="7"/>
        <v>NA</v>
      </c>
    </row>
    <row r="202" spans="1:44" ht="14.4" x14ac:dyDescent="0.3">
      <c r="A202" s="2">
        <v>4</v>
      </c>
      <c r="B202" s="2" t="s">
        <v>73</v>
      </c>
      <c r="C202" s="3">
        <v>7</v>
      </c>
      <c r="D202" s="3">
        <v>1</v>
      </c>
      <c r="E202" s="3" t="s">
        <v>60</v>
      </c>
      <c r="F202" s="3" t="s">
        <v>29</v>
      </c>
      <c r="G202" s="3" t="s">
        <v>29</v>
      </c>
      <c r="H202" s="3" t="s">
        <v>29</v>
      </c>
      <c r="I202" s="3" t="s">
        <v>29</v>
      </c>
      <c r="J202" s="3" t="s">
        <v>29</v>
      </c>
      <c r="K202" s="3" t="s">
        <v>29</v>
      </c>
      <c r="L202" s="3" t="s">
        <v>29</v>
      </c>
      <c r="M202" s="3" t="s">
        <v>29</v>
      </c>
      <c r="P202" s="9" t="s">
        <v>29</v>
      </c>
      <c r="Q202" s="9" t="s">
        <v>29</v>
      </c>
      <c r="R202" s="9" t="s">
        <v>29</v>
      </c>
      <c r="S202" s="9" t="s">
        <v>29</v>
      </c>
      <c r="T202" s="9" t="s">
        <v>29</v>
      </c>
      <c r="U202" s="9" t="s">
        <v>29</v>
      </c>
      <c r="V202" s="16" t="s">
        <v>29</v>
      </c>
      <c r="W202" s="16" t="s">
        <v>29</v>
      </c>
      <c r="X202" s="16" t="s">
        <v>29</v>
      </c>
      <c r="Y202" s="16" t="s">
        <v>29</v>
      </c>
      <c r="AB202" s="9" t="s">
        <v>29</v>
      </c>
      <c r="AC202" s="9" t="s">
        <v>29</v>
      </c>
      <c r="AG202" t="str">
        <f>AK202</f>
        <v>NA</v>
      </c>
      <c r="AK202" t="str">
        <f>L202</f>
        <v>NA</v>
      </c>
      <c r="AM202" s="16" t="s">
        <v>29</v>
      </c>
      <c r="AN202" s="16" t="s">
        <v>29</v>
      </c>
      <c r="AO202" s="16" t="s">
        <v>29</v>
      </c>
      <c r="AP202" s="16" t="s">
        <v>29</v>
      </c>
      <c r="AQ202" t="str">
        <f t="shared" si="6"/>
        <v>NA</v>
      </c>
      <c r="AR202" t="str">
        <f t="shared" si="7"/>
        <v>NA</v>
      </c>
    </row>
    <row r="203" spans="1:44" ht="14.4" x14ac:dyDescent="0.3">
      <c r="A203" s="2">
        <v>4</v>
      </c>
      <c r="B203" s="2" t="s">
        <v>73</v>
      </c>
      <c r="C203" s="3">
        <v>14</v>
      </c>
      <c r="D203" s="3">
        <v>2</v>
      </c>
      <c r="E203" s="3" t="s">
        <v>60</v>
      </c>
      <c r="F203" s="3" t="s">
        <v>29</v>
      </c>
      <c r="G203" s="3" t="s">
        <v>29</v>
      </c>
      <c r="H203" s="3" t="s">
        <v>29</v>
      </c>
      <c r="I203" s="3" t="s">
        <v>29</v>
      </c>
      <c r="J203" s="3" t="s">
        <v>29</v>
      </c>
      <c r="K203" s="3" t="s">
        <v>29</v>
      </c>
      <c r="L203" s="3">
        <v>7</v>
      </c>
      <c r="M203" s="3" t="s">
        <v>29</v>
      </c>
      <c r="P203" s="9" t="s">
        <v>29</v>
      </c>
      <c r="Q203" s="9" t="s">
        <v>29</v>
      </c>
      <c r="R203" s="9" t="s">
        <v>29</v>
      </c>
      <c r="S203" s="9" t="s">
        <v>29</v>
      </c>
      <c r="T203" s="9" t="s">
        <v>29</v>
      </c>
      <c r="U203" s="9" t="s">
        <v>29</v>
      </c>
      <c r="V203" s="16" t="s">
        <v>29</v>
      </c>
      <c r="W203" s="16" t="s">
        <v>29</v>
      </c>
      <c r="X203" s="16" t="s">
        <v>29</v>
      </c>
      <c r="Y203" s="16" t="s">
        <v>29</v>
      </c>
      <c r="AB203" s="9" t="s">
        <v>29</v>
      </c>
      <c r="AC203" s="9" t="s">
        <v>29</v>
      </c>
      <c r="AG203">
        <f>AK203</f>
        <v>7</v>
      </c>
      <c r="AK203">
        <f>L203</f>
        <v>7</v>
      </c>
      <c r="AM203" s="16" t="s">
        <v>29</v>
      </c>
      <c r="AN203" s="16" t="s">
        <v>29</v>
      </c>
      <c r="AO203" s="16" t="s">
        <v>29</v>
      </c>
      <c r="AP203" s="16" t="s">
        <v>29</v>
      </c>
      <c r="AQ203" t="str">
        <f t="shared" si="6"/>
        <v>NA</v>
      </c>
      <c r="AR203" t="str">
        <f t="shared" si="7"/>
        <v>NA</v>
      </c>
    </row>
    <row r="204" spans="1:44" ht="14.4" x14ac:dyDescent="0.3">
      <c r="A204" s="2">
        <v>4</v>
      </c>
      <c r="B204" s="2" t="s">
        <v>73</v>
      </c>
      <c r="C204" s="3">
        <v>21</v>
      </c>
      <c r="D204" s="3">
        <v>3</v>
      </c>
      <c r="E204" s="3" t="s">
        <v>60</v>
      </c>
      <c r="F204" s="3" t="s">
        <v>29</v>
      </c>
      <c r="G204" s="3" t="s">
        <v>29</v>
      </c>
      <c r="H204" s="3" t="s">
        <v>29</v>
      </c>
      <c r="I204" s="3" t="s">
        <v>29</v>
      </c>
      <c r="J204" s="3" t="s">
        <v>29</v>
      </c>
      <c r="K204" s="3" t="s">
        <v>29</v>
      </c>
      <c r="L204" s="3" t="s">
        <v>29</v>
      </c>
      <c r="M204" s="3" t="s">
        <v>29</v>
      </c>
      <c r="P204" s="9" t="s">
        <v>29</v>
      </c>
      <c r="Q204" s="9" t="s">
        <v>29</v>
      </c>
      <c r="R204" s="9" t="s">
        <v>29</v>
      </c>
      <c r="S204" s="9" t="s">
        <v>29</v>
      </c>
      <c r="T204" s="9" t="s">
        <v>29</v>
      </c>
      <c r="U204" s="9" t="s">
        <v>29</v>
      </c>
      <c r="V204" s="16" t="s">
        <v>29</v>
      </c>
      <c r="W204" s="16" t="s">
        <v>29</v>
      </c>
      <c r="X204" s="16" t="s">
        <v>29</v>
      </c>
      <c r="Y204" s="16" t="s">
        <v>29</v>
      </c>
      <c r="AB204" s="9" t="s">
        <v>29</v>
      </c>
      <c r="AC204" s="9" t="s">
        <v>29</v>
      </c>
      <c r="AG204" t="str">
        <f>AK204</f>
        <v>NA</v>
      </c>
      <c r="AK204" t="str">
        <f>L204</f>
        <v>NA</v>
      </c>
      <c r="AM204" s="16" t="s">
        <v>29</v>
      </c>
      <c r="AN204" s="16" t="s">
        <v>29</v>
      </c>
      <c r="AO204" s="16" t="s">
        <v>29</v>
      </c>
      <c r="AP204" s="16" t="s">
        <v>29</v>
      </c>
      <c r="AQ204" t="str">
        <f t="shared" si="6"/>
        <v>NA</v>
      </c>
      <c r="AR204" t="str">
        <f t="shared" si="7"/>
        <v>NA</v>
      </c>
    </row>
    <row r="205" spans="1:44" ht="14.4" x14ac:dyDescent="0.3">
      <c r="A205" s="2">
        <v>4</v>
      </c>
      <c r="B205" s="2" t="s">
        <v>73</v>
      </c>
      <c r="C205" s="3">
        <v>28</v>
      </c>
      <c r="D205" s="3">
        <v>4</v>
      </c>
      <c r="E205" s="3" t="s">
        <v>60</v>
      </c>
      <c r="F205" s="3" t="s">
        <v>29</v>
      </c>
      <c r="G205" s="3" t="s">
        <v>29</v>
      </c>
      <c r="H205" s="3" t="s">
        <v>29</v>
      </c>
      <c r="I205" s="3" t="s">
        <v>29</v>
      </c>
      <c r="J205" s="3" t="s">
        <v>29</v>
      </c>
      <c r="K205" s="3" t="s">
        <v>29</v>
      </c>
      <c r="L205" s="3">
        <v>5</v>
      </c>
      <c r="M205" s="3" t="s">
        <v>29</v>
      </c>
      <c r="P205" s="9" t="s">
        <v>29</v>
      </c>
      <c r="Q205" s="9" t="s">
        <v>29</v>
      </c>
      <c r="R205" s="9" t="s">
        <v>29</v>
      </c>
      <c r="S205" s="9" t="s">
        <v>29</v>
      </c>
      <c r="T205" s="9" t="s">
        <v>29</v>
      </c>
      <c r="U205" s="9" t="s">
        <v>29</v>
      </c>
      <c r="V205" s="16" t="s">
        <v>29</v>
      </c>
      <c r="W205" s="16" t="s">
        <v>29</v>
      </c>
      <c r="X205" s="16" t="s">
        <v>29</v>
      </c>
      <c r="Y205" s="16" t="s">
        <v>29</v>
      </c>
      <c r="AB205" s="9" t="s">
        <v>29</v>
      </c>
      <c r="AC205" s="9" t="s">
        <v>29</v>
      </c>
      <c r="AG205">
        <f>AK205</f>
        <v>5</v>
      </c>
      <c r="AK205">
        <f>L205</f>
        <v>5</v>
      </c>
      <c r="AM205" s="16" t="s">
        <v>29</v>
      </c>
      <c r="AN205" s="16" t="s">
        <v>29</v>
      </c>
      <c r="AO205" s="16" t="s">
        <v>29</v>
      </c>
      <c r="AP205" s="16" t="s">
        <v>29</v>
      </c>
      <c r="AQ205" t="str">
        <f t="shared" si="6"/>
        <v>NA</v>
      </c>
      <c r="AR205" t="str">
        <f t="shared" si="7"/>
        <v>NA</v>
      </c>
    </row>
    <row r="206" spans="1:44" ht="14.4" x14ac:dyDescent="0.3">
      <c r="A206" s="2">
        <v>4</v>
      </c>
      <c r="B206" s="2" t="s">
        <v>73</v>
      </c>
      <c r="C206" s="3">
        <v>35</v>
      </c>
      <c r="D206" s="3">
        <v>5</v>
      </c>
      <c r="E206" s="3" t="s">
        <v>60</v>
      </c>
      <c r="F206" s="3" t="s">
        <v>29</v>
      </c>
      <c r="G206" s="3" t="s">
        <v>29</v>
      </c>
      <c r="H206" s="3" t="s">
        <v>29</v>
      </c>
      <c r="I206" s="3" t="s">
        <v>29</v>
      </c>
      <c r="J206" s="3" t="s">
        <v>29</v>
      </c>
      <c r="K206" s="3" t="s">
        <v>29</v>
      </c>
      <c r="L206" s="3" t="s">
        <v>29</v>
      </c>
      <c r="M206" s="3" t="s">
        <v>29</v>
      </c>
      <c r="P206" s="9" t="s">
        <v>29</v>
      </c>
      <c r="Q206" s="9" t="s">
        <v>29</v>
      </c>
      <c r="R206" s="9" t="s">
        <v>29</v>
      </c>
      <c r="S206" s="9" t="s">
        <v>29</v>
      </c>
      <c r="T206" s="9" t="s">
        <v>29</v>
      </c>
      <c r="U206" s="9" t="s">
        <v>29</v>
      </c>
      <c r="V206" s="16" t="s">
        <v>29</v>
      </c>
      <c r="W206" s="16" t="s">
        <v>29</v>
      </c>
      <c r="X206" s="16" t="s">
        <v>29</v>
      </c>
      <c r="Y206" s="16" t="s">
        <v>29</v>
      </c>
      <c r="AB206" s="9" t="s">
        <v>29</v>
      </c>
      <c r="AC206" s="9" t="s">
        <v>29</v>
      </c>
      <c r="AG206" t="str">
        <f>AK206</f>
        <v>NA</v>
      </c>
      <c r="AK206" t="str">
        <f>L206</f>
        <v>NA</v>
      </c>
      <c r="AM206" s="16" t="s">
        <v>29</v>
      </c>
      <c r="AN206" s="16" t="s">
        <v>29</v>
      </c>
      <c r="AO206" s="16" t="s">
        <v>29</v>
      </c>
      <c r="AP206" s="16" t="s">
        <v>29</v>
      </c>
      <c r="AQ206" t="str">
        <f t="shared" si="6"/>
        <v>NA</v>
      </c>
      <c r="AR206" t="str">
        <f t="shared" si="7"/>
        <v>NA</v>
      </c>
    </row>
    <row r="207" spans="1:44" ht="14.4" x14ac:dyDescent="0.3">
      <c r="A207" s="2">
        <v>26</v>
      </c>
      <c r="B207" s="2" t="s">
        <v>78</v>
      </c>
      <c r="C207" s="3">
        <v>7</v>
      </c>
      <c r="D207" s="3">
        <v>1</v>
      </c>
      <c r="E207" s="3" t="s">
        <v>60</v>
      </c>
      <c r="F207" s="3" t="s">
        <v>29</v>
      </c>
      <c r="G207" s="3" t="s">
        <v>29</v>
      </c>
      <c r="H207" s="3" t="s">
        <v>29</v>
      </c>
      <c r="I207" s="3" t="s">
        <v>29</v>
      </c>
      <c r="J207" s="3" t="s">
        <v>29</v>
      </c>
      <c r="K207" s="3" t="s">
        <v>29</v>
      </c>
      <c r="L207" s="3" t="s">
        <v>29</v>
      </c>
      <c r="M207" s="3" t="s">
        <v>29</v>
      </c>
      <c r="P207" s="9" t="s">
        <v>29</v>
      </c>
      <c r="Q207" s="9" t="s">
        <v>29</v>
      </c>
      <c r="R207" s="9" t="s">
        <v>29</v>
      </c>
      <c r="S207" s="9" t="s">
        <v>29</v>
      </c>
      <c r="T207" s="9" t="s">
        <v>29</v>
      </c>
      <c r="U207" s="9" t="s">
        <v>29</v>
      </c>
      <c r="V207" s="16" t="s">
        <v>29</v>
      </c>
      <c r="W207" s="16" t="s">
        <v>29</v>
      </c>
      <c r="X207" s="16" t="s">
        <v>29</v>
      </c>
      <c r="Y207" s="16" t="s">
        <v>29</v>
      </c>
      <c r="AB207" s="9" t="s">
        <v>29</v>
      </c>
      <c r="AC207" s="9" t="s">
        <v>29</v>
      </c>
      <c r="AG207" t="str">
        <f>AK207</f>
        <v>NA</v>
      </c>
      <c r="AK207" t="str">
        <f>L207</f>
        <v>NA</v>
      </c>
      <c r="AM207" s="16" t="s">
        <v>29</v>
      </c>
      <c r="AN207" s="16" t="s">
        <v>29</v>
      </c>
      <c r="AO207" s="16" t="s">
        <v>29</v>
      </c>
      <c r="AP207" s="16" t="s">
        <v>29</v>
      </c>
      <c r="AQ207" t="str">
        <f t="shared" si="6"/>
        <v>NA</v>
      </c>
      <c r="AR207" t="str">
        <f t="shared" si="7"/>
        <v>NA</v>
      </c>
    </row>
    <row r="208" spans="1:44" ht="14.4" x14ac:dyDescent="0.3">
      <c r="A208" s="2">
        <v>26</v>
      </c>
      <c r="B208" s="2" t="s">
        <v>78</v>
      </c>
      <c r="C208" s="3">
        <v>14</v>
      </c>
      <c r="D208" s="3">
        <v>2</v>
      </c>
      <c r="E208" s="3" t="s">
        <v>60</v>
      </c>
      <c r="F208" s="3" t="s">
        <v>29</v>
      </c>
      <c r="G208" s="3" t="s">
        <v>29</v>
      </c>
      <c r="H208" s="3" t="s">
        <v>29</v>
      </c>
      <c r="I208" s="3" t="s">
        <v>29</v>
      </c>
      <c r="J208" s="3" t="s">
        <v>29</v>
      </c>
      <c r="K208" s="3" t="s">
        <v>29</v>
      </c>
      <c r="L208" s="3">
        <v>4</v>
      </c>
      <c r="M208" s="3" t="s">
        <v>29</v>
      </c>
      <c r="P208" s="9" t="s">
        <v>29</v>
      </c>
      <c r="Q208" s="9" t="s">
        <v>29</v>
      </c>
      <c r="R208" s="9" t="s">
        <v>29</v>
      </c>
      <c r="S208" s="9" t="s">
        <v>29</v>
      </c>
      <c r="T208" s="9" t="s">
        <v>29</v>
      </c>
      <c r="U208" s="9" t="s">
        <v>29</v>
      </c>
      <c r="V208" s="16" t="s">
        <v>29</v>
      </c>
      <c r="W208" s="16" t="s">
        <v>29</v>
      </c>
      <c r="X208" s="16" t="s">
        <v>29</v>
      </c>
      <c r="Y208" s="16" t="s">
        <v>29</v>
      </c>
      <c r="AB208" s="9" t="s">
        <v>29</v>
      </c>
      <c r="AC208" s="9" t="s">
        <v>29</v>
      </c>
      <c r="AG208">
        <f>AK208</f>
        <v>4</v>
      </c>
      <c r="AK208">
        <f>L208</f>
        <v>4</v>
      </c>
      <c r="AM208" s="16" t="s">
        <v>29</v>
      </c>
      <c r="AN208" s="16" t="s">
        <v>29</v>
      </c>
      <c r="AO208" s="16" t="s">
        <v>29</v>
      </c>
      <c r="AP208" s="16" t="s">
        <v>29</v>
      </c>
      <c r="AQ208" t="str">
        <f t="shared" si="6"/>
        <v>NA</v>
      </c>
      <c r="AR208" t="str">
        <f t="shared" si="7"/>
        <v>NA</v>
      </c>
    </row>
    <row r="209" spans="1:44" ht="14.4" x14ac:dyDescent="0.3">
      <c r="A209" s="2">
        <v>26</v>
      </c>
      <c r="B209" s="2" t="s">
        <v>78</v>
      </c>
      <c r="C209" s="3">
        <v>21</v>
      </c>
      <c r="D209" s="3">
        <v>3</v>
      </c>
      <c r="E209" s="3" t="s">
        <v>60</v>
      </c>
      <c r="F209" s="3" t="s">
        <v>29</v>
      </c>
      <c r="G209" s="3" t="s">
        <v>29</v>
      </c>
      <c r="H209" s="3" t="s">
        <v>29</v>
      </c>
      <c r="I209" s="3" t="s">
        <v>29</v>
      </c>
      <c r="J209" s="3" t="s">
        <v>29</v>
      </c>
      <c r="K209" s="3" t="s">
        <v>29</v>
      </c>
      <c r="L209" s="3" t="s">
        <v>29</v>
      </c>
      <c r="M209" s="3" t="s">
        <v>29</v>
      </c>
      <c r="P209" s="9" t="s">
        <v>29</v>
      </c>
      <c r="Q209" s="9" t="s">
        <v>29</v>
      </c>
      <c r="R209" s="9" t="s">
        <v>29</v>
      </c>
      <c r="S209" s="9" t="s">
        <v>29</v>
      </c>
      <c r="T209" s="9" t="s">
        <v>29</v>
      </c>
      <c r="U209" s="9" t="s">
        <v>29</v>
      </c>
      <c r="V209" s="16" t="s">
        <v>29</v>
      </c>
      <c r="W209" s="16" t="s">
        <v>29</v>
      </c>
      <c r="X209" s="16" t="s">
        <v>29</v>
      </c>
      <c r="Y209" s="16" t="s">
        <v>29</v>
      </c>
      <c r="AB209" s="9" t="s">
        <v>29</v>
      </c>
      <c r="AC209" s="9" t="s">
        <v>29</v>
      </c>
      <c r="AG209" t="str">
        <f>AK209</f>
        <v>NA</v>
      </c>
      <c r="AK209" t="str">
        <f>L209</f>
        <v>NA</v>
      </c>
      <c r="AL209" s="3" t="s">
        <v>74</v>
      </c>
      <c r="AM209" s="16" t="s">
        <v>29</v>
      </c>
      <c r="AN209" s="16" t="s">
        <v>29</v>
      </c>
      <c r="AO209" s="16" t="s">
        <v>29</v>
      </c>
      <c r="AP209" s="16" t="s">
        <v>29</v>
      </c>
      <c r="AQ209" t="str">
        <f t="shared" si="6"/>
        <v>NA</v>
      </c>
      <c r="AR209" t="str">
        <f t="shared" si="7"/>
        <v>NA</v>
      </c>
    </row>
    <row r="210" spans="1:44" ht="14.4" x14ac:dyDescent="0.3">
      <c r="A210" s="2">
        <v>26</v>
      </c>
      <c r="B210" s="2" t="s">
        <v>78</v>
      </c>
      <c r="C210" s="3">
        <v>28</v>
      </c>
      <c r="D210" s="3">
        <v>4</v>
      </c>
      <c r="E210" s="3" t="s">
        <v>60</v>
      </c>
      <c r="F210" s="3" t="s">
        <v>29</v>
      </c>
      <c r="G210" s="3" t="s">
        <v>29</v>
      </c>
      <c r="H210" s="3" t="s">
        <v>29</v>
      </c>
      <c r="I210" s="3" t="s">
        <v>29</v>
      </c>
      <c r="J210" s="3" t="s">
        <v>29</v>
      </c>
      <c r="K210" s="3" t="s">
        <v>29</v>
      </c>
      <c r="L210" s="3">
        <v>10</v>
      </c>
      <c r="M210" s="3" t="s">
        <v>29</v>
      </c>
      <c r="P210" s="9" t="s">
        <v>29</v>
      </c>
      <c r="Q210" s="9" t="s">
        <v>29</v>
      </c>
      <c r="R210" s="9" t="s">
        <v>29</v>
      </c>
      <c r="S210" s="9" t="s">
        <v>29</v>
      </c>
      <c r="T210" s="9" t="s">
        <v>29</v>
      </c>
      <c r="U210" s="9" t="s">
        <v>29</v>
      </c>
      <c r="V210" s="16" t="s">
        <v>29</v>
      </c>
      <c r="W210" s="16" t="s">
        <v>29</v>
      </c>
      <c r="X210" s="16" t="s">
        <v>29</v>
      </c>
      <c r="Y210" s="16" t="s">
        <v>29</v>
      </c>
      <c r="AB210" s="9" t="s">
        <v>29</v>
      </c>
      <c r="AC210" s="9" t="s">
        <v>29</v>
      </c>
      <c r="AG210">
        <f>AK210</f>
        <v>10</v>
      </c>
      <c r="AK210">
        <f>L210</f>
        <v>10</v>
      </c>
      <c r="AM210" s="16" t="s">
        <v>29</v>
      </c>
      <c r="AN210" s="16" t="s">
        <v>29</v>
      </c>
      <c r="AO210" s="16" t="s">
        <v>29</v>
      </c>
      <c r="AP210" s="16" t="s">
        <v>29</v>
      </c>
      <c r="AQ210" t="str">
        <f t="shared" si="6"/>
        <v>NA</v>
      </c>
      <c r="AR210" t="str">
        <f t="shared" si="7"/>
        <v>NA</v>
      </c>
    </row>
    <row r="211" spans="1:44" ht="14.4" x14ac:dyDescent="0.3">
      <c r="A211" s="2">
        <v>26</v>
      </c>
      <c r="B211" s="2" t="s">
        <v>78</v>
      </c>
      <c r="C211" s="3">
        <v>35</v>
      </c>
      <c r="D211" s="3">
        <v>5</v>
      </c>
      <c r="E211" s="3" t="s">
        <v>60</v>
      </c>
      <c r="F211" s="3" t="s">
        <v>29</v>
      </c>
      <c r="G211" s="3" t="s">
        <v>29</v>
      </c>
      <c r="H211" s="3" t="s">
        <v>29</v>
      </c>
      <c r="I211" s="3" t="s">
        <v>29</v>
      </c>
      <c r="J211" s="3" t="s">
        <v>29</v>
      </c>
      <c r="K211" s="3" t="s">
        <v>29</v>
      </c>
      <c r="L211" s="3" t="s">
        <v>29</v>
      </c>
      <c r="M211" s="3" t="s">
        <v>29</v>
      </c>
      <c r="P211" s="9" t="s">
        <v>29</v>
      </c>
      <c r="Q211" s="9" t="s">
        <v>29</v>
      </c>
      <c r="R211" s="9" t="s">
        <v>29</v>
      </c>
      <c r="S211" s="9" t="s">
        <v>29</v>
      </c>
      <c r="T211" s="9" t="s">
        <v>29</v>
      </c>
      <c r="U211" s="9" t="s">
        <v>29</v>
      </c>
      <c r="V211" s="16" t="s">
        <v>29</v>
      </c>
      <c r="W211" s="16" t="s">
        <v>29</v>
      </c>
      <c r="X211" s="16" t="s">
        <v>29</v>
      </c>
      <c r="Y211" s="16" t="s">
        <v>29</v>
      </c>
      <c r="AB211" s="9" t="s">
        <v>29</v>
      </c>
      <c r="AC211" s="9" t="s">
        <v>29</v>
      </c>
      <c r="AG211" t="str">
        <f>AK211</f>
        <v>NA</v>
      </c>
      <c r="AK211" t="str">
        <f>L211</f>
        <v>NA</v>
      </c>
      <c r="AM211" s="16" t="s">
        <v>29</v>
      </c>
      <c r="AN211" s="16" t="s">
        <v>29</v>
      </c>
      <c r="AO211" s="16" t="s">
        <v>29</v>
      </c>
      <c r="AP211" s="16" t="s">
        <v>29</v>
      </c>
      <c r="AQ211" t="str">
        <f t="shared" si="6"/>
        <v>NA</v>
      </c>
      <c r="AR211" t="str">
        <f t="shared" si="7"/>
        <v>NA</v>
      </c>
    </row>
    <row r="212" spans="1:44" ht="14.4" x14ac:dyDescent="0.3">
      <c r="A212" s="2">
        <v>27</v>
      </c>
      <c r="B212" s="2" t="s">
        <v>70</v>
      </c>
      <c r="C212" s="3">
        <v>7</v>
      </c>
      <c r="D212" s="3">
        <v>1</v>
      </c>
      <c r="E212" s="3" t="s">
        <v>60</v>
      </c>
      <c r="F212" s="3" t="s">
        <v>29</v>
      </c>
      <c r="G212" s="3" t="s">
        <v>29</v>
      </c>
      <c r="H212" s="3" t="s">
        <v>29</v>
      </c>
      <c r="I212" s="3" t="s">
        <v>29</v>
      </c>
      <c r="J212" s="3" t="s">
        <v>29</v>
      </c>
      <c r="K212" s="3" t="s">
        <v>29</v>
      </c>
      <c r="L212" s="3" t="s">
        <v>29</v>
      </c>
      <c r="M212" s="3" t="s">
        <v>29</v>
      </c>
      <c r="P212" s="9" t="s">
        <v>29</v>
      </c>
      <c r="Q212" s="9" t="s">
        <v>29</v>
      </c>
      <c r="R212" s="9" t="s">
        <v>29</v>
      </c>
      <c r="S212" s="9" t="s">
        <v>29</v>
      </c>
      <c r="T212" s="9" t="s">
        <v>29</v>
      </c>
      <c r="U212" s="9" t="s">
        <v>29</v>
      </c>
      <c r="V212" s="16" t="s">
        <v>29</v>
      </c>
      <c r="W212" s="16" t="s">
        <v>29</v>
      </c>
      <c r="X212" s="16" t="s">
        <v>29</v>
      </c>
      <c r="Y212" s="16" t="s">
        <v>29</v>
      </c>
      <c r="AB212" s="9" t="s">
        <v>29</v>
      </c>
      <c r="AC212" s="9" t="s">
        <v>29</v>
      </c>
      <c r="AG212" t="str">
        <f>AK212</f>
        <v>NA</v>
      </c>
      <c r="AK212" t="str">
        <f>L212</f>
        <v>NA</v>
      </c>
      <c r="AM212" s="16" t="s">
        <v>29</v>
      </c>
      <c r="AN212" s="16" t="s">
        <v>29</v>
      </c>
      <c r="AO212" s="16" t="s">
        <v>29</v>
      </c>
      <c r="AP212" s="16" t="s">
        <v>29</v>
      </c>
      <c r="AQ212" t="str">
        <f t="shared" si="6"/>
        <v>NA</v>
      </c>
      <c r="AR212" t="str">
        <f t="shared" si="7"/>
        <v>NA</v>
      </c>
    </row>
    <row r="213" spans="1:44" ht="14.4" x14ac:dyDescent="0.3">
      <c r="A213" s="2">
        <v>27</v>
      </c>
      <c r="B213" s="2" t="s">
        <v>70</v>
      </c>
      <c r="C213" s="3">
        <v>14</v>
      </c>
      <c r="D213" s="3">
        <v>2</v>
      </c>
      <c r="E213" s="3" t="s">
        <v>60</v>
      </c>
      <c r="F213" s="3" t="s">
        <v>29</v>
      </c>
      <c r="G213" s="3" t="s">
        <v>29</v>
      </c>
      <c r="H213" s="3" t="s">
        <v>29</v>
      </c>
      <c r="I213" s="3" t="s">
        <v>29</v>
      </c>
      <c r="J213" s="3" t="s">
        <v>29</v>
      </c>
      <c r="K213" s="3" t="s">
        <v>29</v>
      </c>
      <c r="L213" s="3">
        <v>7</v>
      </c>
      <c r="M213" s="3" t="s">
        <v>29</v>
      </c>
      <c r="P213" s="9" t="s">
        <v>29</v>
      </c>
      <c r="Q213" s="9" t="s">
        <v>29</v>
      </c>
      <c r="R213" s="9" t="s">
        <v>29</v>
      </c>
      <c r="S213" s="9" t="s">
        <v>29</v>
      </c>
      <c r="T213" s="9" t="s">
        <v>29</v>
      </c>
      <c r="U213" s="9" t="s">
        <v>29</v>
      </c>
      <c r="V213" s="16" t="s">
        <v>29</v>
      </c>
      <c r="W213" s="16" t="s">
        <v>29</v>
      </c>
      <c r="X213" s="16" t="s">
        <v>29</v>
      </c>
      <c r="Y213" s="16" t="s">
        <v>29</v>
      </c>
      <c r="AB213" s="9" t="s">
        <v>29</v>
      </c>
      <c r="AC213" s="9" t="s">
        <v>29</v>
      </c>
      <c r="AG213">
        <f>AK213</f>
        <v>7</v>
      </c>
      <c r="AK213">
        <f>L213</f>
        <v>7</v>
      </c>
      <c r="AM213" s="16" t="s">
        <v>29</v>
      </c>
      <c r="AN213" s="16" t="s">
        <v>29</v>
      </c>
      <c r="AO213" s="16" t="s">
        <v>29</v>
      </c>
      <c r="AP213" s="16" t="s">
        <v>29</v>
      </c>
      <c r="AQ213" t="str">
        <f t="shared" si="6"/>
        <v>NA</v>
      </c>
      <c r="AR213" t="str">
        <f t="shared" si="7"/>
        <v>NA</v>
      </c>
    </row>
    <row r="214" spans="1:44" ht="14.4" x14ac:dyDescent="0.3">
      <c r="A214" s="2">
        <v>27</v>
      </c>
      <c r="B214" s="2" t="s">
        <v>70</v>
      </c>
      <c r="C214" s="3">
        <v>21</v>
      </c>
      <c r="D214" s="3">
        <v>3</v>
      </c>
      <c r="E214" s="3" t="s">
        <v>60</v>
      </c>
      <c r="F214" s="3" t="s">
        <v>29</v>
      </c>
      <c r="G214" s="3" t="s">
        <v>29</v>
      </c>
      <c r="H214" s="3" t="s">
        <v>29</v>
      </c>
      <c r="I214" s="3" t="s">
        <v>29</v>
      </c>
      <c r="J214" s="3" t="s">
        <v>29</v>
      </c>
      <c r="K214" s="3" t="s">
        <v>29</v>
      </c>
      <c r="L214" s="3">
        <v>8</v>
      </c>
      <c r="M214" s="3" t="s">
        <v>29</v>
      </c>
      <c r="P214" s="9" t="s">
        <v>29</v>
      </c>
      <c r="Q214" s="9" t="s">
        <v>29</v>
      </c>
      <c r="R214" s="9" t="s">
        <v>29</v>
      </c>
      <c r="S214" s="9" t="s">
        <v>29</v>
      </c>
      <c r="T214" s="9" t="s">
        <v>29</v>
      </c>
      <c r="U214" s="9" t="s">
        <v>29</v>
      </c>
      <c r="V214" s="16" t="s">
        <v>29</v>
      </c>
      <c r="W214" s="16" t="s">
        <v>29</v>
      </c>
      <c r="X214" s="16" t="s">
        <v>29</v>
      </c>
      <c r="Y214" s="16" t="s">
        <v>29</v>
      </c>
      <c r="AB214" s="9" t="s">
        <v>29</v>
      </c>
      <c r="AC214" s="9" t="s">
        <v>29</v>
      </c>
      <c r="AG214">
        <f>AK214</f>
        <v>8</v>
      </c>
      <c r="AK214">
        <f>L214</f>
        <v>8</v>
      </c>
      <c r="AM214" s="16" t="s">
        <v>29</v>
      </c>
      <c r="AN214" s="16" t="s">
        <v>29</v>
      </c>
      <c r="AO214" s="16" t="s">
        <v>29</v>
      </c>
      <c r="AP214" s="16" t="s">
        <v>29</v>
      </c>
      <c r="AQ214" t="str">
        <f t="shared" si="6"/>
        <v>NA</v>
      </c>
      <c r="AR214" t="str">
        <f t="shared" si="7"/>
        <v>NA</v>
      </c>
    </row>
    <row r="215" spans="1:44" ht="14.4" x14ac:dyDescent="0.3">
      <c r="A215" s="2">
        <v>27</v>
      </c>
      <c r="B215" s="2" t="s">
        <v>70</v>
      </c>
      <c r="C215" s="3">
        <v>28</v>
      </c>
      <c r="D215" s="3">
        <v>4</v>
      </c>
      <c r="E215" s="3" t="s">
        <v>60</v>
      </c>
      <c r="F215" s="3" t="s">
        <v>29</v>
      </c>
      <c r="G215" s="3" t="s">
        <v>29</v>
      </c>
      <c r="H215" s="3" t="s">
        <v>29</v>
      </c>
      <c r="I215" s="3" t="s">
        <v>29</v>
      </c>
      <c r="J215" s="3" t="s">
        <v>29</v>
      </c>
      <c r="K215" s="3" t="s">
        <v>29</v>
      </c>
      <c r="L215" s="3">
        <v>4</v>
      </c>
      <c r="M215" s="3" t="s">
        <v>29</v>
      </c>
      <c r="P215" s="9" t="s">
        <v>29</v>
      </c>
      <c r="Q215" s="9" t="s">
        <v>29</v>
      </c>
      <c r="R215" s="9" t="s">
        <v>29</v>
      </c>
      <c r="S215" s="9" t="s">
        <v>29</v>
      </c>
      <c r="T215" s="9" t="s">
        <v>29</v>
      </c>
      <c r="U215" s="9" t="s">
        <v>29</v>
      </c>
      <c r="V215" s="16" t="s">
        <v>29</v>
      </c>
      <c r="W215" s="16" t="s">
        <v>29</v>
      </c>
      <c r="X215" s="16" t="s">
        <v>29</v>
      </c>
      <c r="Y215" s="16" t="s">
        <v>29</v>
      </c>
      <c r="AB215" s="9" t="s">
        <v>29</v>
      </c>
      <c r="AC215" s="9" t="s">
        <v>29</v>
      </c>
      <c r="AG215">
        <f>AK215</f>
        <v>4</v>
      </c>
      <c r="AK215">
        <f>L215</f>
        <v>4</v>
      </c>
      <c r="AM215" s="16" t="s">
        <v>29</v>
      </c>
      <c r="AN215" s="16" t="s">
        <v>29</v>
      </c>
      <c r="AO215" s="16" t="s">
        <v>29</v>
      </c>
      <c r="AP215" s="16" t="s">
        <v>29</v>
      </c>
      <c r="AQ215" t="str">
        <f t="shared" si="6"/>
        <v>NA</v>
      </c>
      <c r="AR215" t="str">
        <f t="shared" si="7"/>
        <v>NA</v>
      </c>
    </row>
    <row r="216" spans="1:44" ht="14.4" x14ac:dyDescent="0.3">
      <c r="A216" s="2">
        <v>27</v>
      </c>
      <c r="B216" s="2" t="s">
        <v>70</v>
      </c>
      <c r="C216" s="3">
        <v>35</v>
      </c>
      <c r="D216" s="3">
        <v>5</v>
      </c>
      <c r="E216" s="3" t="s">
        <v>60</v>
      </c>
      <c r="F216" s="3" t="s">
        <v>29</v>
      </c>
      <c r="G216" s="3" t="s">
        <v>29</v>
      </c>
      <c r="H216" s="3" t="s">
        <v>29</v>
      </c>
      <c r="I216" s="3" t="s">
        <v>29</v>
      </c>
      <c r="J216" s="3" t="s">
        <v>29</v>
      </c>
      <c r="K216" s="3" t="s">
        <v>29</v>
      </c>
      <c r="L216" s="3">
        <v>14</v>
      </c>
      <c r="M216" s="3" t="s">
        <v>29</v>
      </c>
      <c r="P216" s="9" t="s">
        <v>29</v>
      </c>
      <c r="Q216" s="9" t="s">
        <v>29</v>
      </c>
      <c r="R216" s="9" t="s">
        <v>29</v>
      </c>
      <c r="S216" s="9" t="s">
        <v>29</v>
      </c>
      <c r="T216" s="9" t="s">
        <v>29</v>
      </c>
      <c r="U216" s="9" t="s">
        <v>29</v>
      </c>
      <c r="V216" s="16" t="s">
        <v>29</v>
      </c>
      <c r="W216" s="16" t="s">
        <v>29</v>
      </c>
      <c r="X216" s="16" t="s">
        <v>29</v>
      </c>
      <c r="Y216" s="16" t="s">
        <v>29</v>
      </c>
      <c r="AB216" s="9" t="s">
        <v>29</v>
      </c>
      <c r="AC216" s="9" t="s">
        <v>29</v>
      </c>
      <c r="AG216">
        <f>AK216</f>
        <v>14</v>
      </c>
      <c r="AK216">
        <f>L216</f>
        <v>14</v>
      </c>
      <c r="AM216" s="16" t="s">
        <v>29</v>
      </c>
      <c r="AN216" s="16" t="s">
        <v>29</v>
      </c>
      <c r="AO216" s="16" t="s">
        <v>29</v>
      </c>
      <c r="AP216" s="16" t="s">
        <v>29</v>
      </c>
      <c r="AQ216" t="str">
        <f t="shared" si="6"/>
        <v>NA</v>
      </c>
      <c r="AR216" t="str">
        <f t="shared" si="7"/>
        <v>NA</v>
      </c>
    </row>
    <row r="217" spans="1:44" ht="14.4" x14ac:dyDescent="0.3">
      <c r="A217" s="2">
        <v>15</v>
      </c>
      <c r="B217" s="2" t="s">
        <v>66</v>
      </c>
      <c r="C217" s="3">
        <v>7</v>
      </c>
      <c r="D217" s="3">
        <v>1</v>
      </c>
      <c r="E217" s="3" t="s">
        <v>60</v>
      </c>
      <c r="F217" s="3" t="s">
        <v>29</v>
      </c>
      <c r="G217" s="3" t="s">
        <v>29</v>
      </c>
      <c r="H217" s="3" t="s">
        <v>29</v>
      </c>
      <c r="I217" s="3" t="s">
        <v>29</v>
      </c>
      <c r="J217" s="3" t="s">
        <v>29</v>
      </c>
      <c r="K217" s="3" t="s">
        <v>29</v>
      </c>
      <c r="L217" s="3" t="s">
        <v>29</v>
      </c>
      <c r="M217" s="3" t="s">
        <v>29</v>
      </c>
      <c r="P217" s="9" t="s">
        <v>29</v>
      </c>
      <c r="Q217" s="9" t="s">
        <v>29</v>
      </c>
      <c r="R217" s="9" t="s">
        <v>29</v>
      </c>
      <c r="S217" s="9" t="s">
        <v>29</v>
      </c>
      <c r="T217" s="9" t="s">
        <v>29</v>
      </c>
      <c r="U217" s="9" t="s">
        <v>29</v>
      </c>
      <c r="V217" s="16" t="s">
        <v>29</v>
      </c>
      <c r="W217" s="16" t="s">
        <v>29</v>
      </c>
      <c r="X217" s="16" t="s">
        <v>29</v>
      </c>
      <c r="Y217" s="16" t="s">
        <v>29</v>
      </c>
      <c r="AB217" s="9" t="s">
        <v>29</v>
      </c>
      <c r="AC217" s="9" t="s">
        <v>29</v>
      </c>
      <c r="AG217" t="str">
        <f>AK217</f>
        <v>NA</v>
      </c>
      <c r="AK217" t="str">
        <f>L217</f>
        <v>NA</v>
      </c>
      <c r="AM217" s="16" t="s">
        <v>29</v>
      </c>
      <c r="AN217" s="16" t="s">
        <v>29</v>
      </c>
      <c r="AO217" s="16" t="s">
        <v>29</v>
      </c>
      <c r="AP217" s="16" t="s">
        <v>29</v>
      </c>
      <c r="AQ217" t="str">
        <f t="shared" si="6"/>
        <v>NA</v>
      </c>
      <c r="AR217" t="str">
        <f t="shared" si="7"/>
        <v>NA</v>
      </c>
    </row>
    <row r="218" spans="1:44" ht="14.4" x14ac:dyDescent="0.3">
      <c r="A218" s="2">
        <v>15</v>
      </c>
      <c r="B218" s="2" t="s">
        <v>66</v>
      </c>
      <c r="C218" s="3">
        <v>14</v>
      </c>
      <c r="D218" s="3">
        <v>2</v>
      </c>
      <c r="E218" s="3" t="s">
        <v>60</v>
      </c>
      <c r="F218" s="3" t="s">
        <v>29</v>
      </c>
      <c r="G218" s="3" t="s">
        <v>29</v>
      </c>
      <c r="H218" s="3" t="s">
        <v>29</v>
      </c>
      <c r="I218" s="3" t="s">
        <v>29</v>
      </c>
      <c r="J218" s="3" t="s">
        <v>29</v>
      </c>
      <c r="K218" s="3" t="s">
        <v>29</v>
      </c>
      <c r="L218" s="3">
        <v>6</v>
      </c>
      <c r="M218" s="3" t="s">
        <v>29</v>
      </c>
      <c r="P218" s="9" t="s">
        <v>29</v>
      </c>
      <c r="Q218" s="9" t="s">
        <v>29</v>
      </c>
      <c r="R218" s="9" t="s">
        <v>29</v>
      </c>
      <c r="S218" s="9" t="s">
        <v>29</v>
      </c>
      <c r="T218" s="9" t="s">
        <v>29</v>
      </c>
      <c r="U218" s="9" t="s">
        <v>29</v>
      </c>
      <c r="V218" s="16" t="s">
        <v>29</v>
      </c>
      <c r="W218" s="16" t="s">
        <v>29</v>
      </c>
      <c r="X218" s="16" t="s">
        <v>29</v>
      </c>
      <c r="Y218" s="16" t="s">
        <v>29</v>
      </c>
      <c r="AB218" s="9" t="s">
        <v>29</v>
      </c>
      <c r="AC218" s="9" t="s">
        <v>29</v>
      </c>
      <c r="AG218">
        <f>AK218</f>
        <v>6</v>
      </c>
      <c r="AK218">
        <f>L218</f>
        <v>6</v>
      </c>
      <c r="AM218" s="16" t="s">
        <v>29</v>
      </c>
      <c r="AN218" s="16" t="s">
        <v>29</v>
      </c>
      <c r="AO218" s="16" t="s">
        <v>29</v>
      </c>
      <c r="AP218" s="16" t="s">
        <v>29</v>
      </c>
      <c r="AQ218" t="str">
        <f t="shared" si="6"/>
        <v>NA</v>
      </c>
      <c r="AR218" t="str">
        <f t="shared" si="7"/>
        <v>NA</v>
      </c>
    </row>
    <row r="219" spans="1:44" ht="14.4" x14ac:dyDescent="0.3">
      <c r="A219" s="2">
        <v>15</v>
      </c>
      <c r="B219" s="2" t="s">
        <v>66</v>
      </c>
      <c r="C219" s="3">
        <v>21</v>
      </c>
      <c r="D219" s="3">
        <v>3</v>
      </c>
      <c r="E219" s="3" t="s">
        <v>60</v>
      </c>
      <c r="F219" s="3" t="s">
        <v>29</v>
      </c>
      <c r="G219" s="3" t="s">
        <v>29</v>
      </c>
      <c r="H219" s="3" t="s">
        <v>29</v>
      </c>
      <c r="I219" s="3" t="s">
        <v>29</v>
      </c>
      <c r="J219" s="3" t="s">
        <v>29</v>
      </c>
      <c r="K219" s="3" t="s">
        <v>29</v>
      </c>
      <c r="L219" s="3">
        <v>12</v>
      </c>
      <c r="M219" s="3" t="s">
        <v>29</v>
      </c>
      <c r="P219" s="9" t="s">
        <v>29</v>
      </c>
      <c r="Q219" s="9" t="s">
        <v>29</v>
      </c>
      <c r="R219" s="9" t="s">
        <v>29</v>
      </c>
      <c r="S219" s="9" t="s">
        <v>29</v>
      </c>
      <c r="T219" s="9" t="s">
        <v>29</v>
      </c>
      <c r="U219" s="9" t="s">
        <v>29</v>
      </c>
      <c r="V219" s="16" t="s">
        <v>29</v>
      </c>
      <c r="W219" s="16" t="s">
        <v>29</v>
      </c>
      <c r="X219" s="16" t="s">
        <v>29</v>
      </c>
      <c r="Y219" s="16" t="s">
        <v>29</v>
      </c>
      <c r="AB219" s="9" t="s">
        <v>29</v>
      </c>
      <c r="AC219" s="9" t="s">
        <v>29</v>
      </c>
      <c r="AG219">
        <f>AK219</f>
        <v>12</v>
      </c>
      <c r="AK219">
        <f>L219</f>
        <v>12</v>
      </c>
      <c r="AM219" s="16" t="s">
        <v>29</v>
      </c>
      <c r="AN219" s="16" t="s">
        <v>29</v>
      </c>
      <c r="AO219" s="16" t="s">
        <v>29</v>
      </c>
      <c r="AP219" s="16" t="s">
        <v>29</v>
      </c>
      <c r="AQ219" t="str">
        <f t="shared" si="6"/>
        <v>NA</v>
      </c>
      <c r="AR219" t="str">
        <f t="shared" si="7"/>
        <v>NA</v>
      </c>
    </row>
    <row r="220" spans="1:44" ht="14.4" x14ac:dyDescent="0.3">
      <c r="A220" s="2">
        <v>15</v>
      </c>
      <c r="B220" s="2" t="s">
        <v>66</v>
      </c>
      <c r="C220" s="3">
        <v>28</v>
      </c>
      <c r="D220" s="3">
        <v>4</v>
      </c>
      <c r="E220" s="3" t="s">
        <v>60</v>
      </c>
      <c r="F220" s="3" t="s">
        <v>29</v>
      </c>
      <c r="G220" s="3" t="s">
        <v>29</v>
      </c>
      <c r="H220" s="3" t="s">
        <v>29</v>
      </c>
      <c r="I220" s="3" t="s">
        <v>29</v>
      </c>
      <c r="J220" s="3" t="s">
        <v>29</v>
      </c>
      <c r="K220" s="3" t="s">
        <v>29</v>
      </c>
      <c r="L220" s="3">
        <v>7</v>
      </c>
      <c r="M220" s="3" t="s">
        <v>29</v>
      </c>
      <c r="P220" s="9" t="s">
        <v>29</v>
      </c>
      <c r="Q220" s="9" t="s">
        <v>29</v>
      </c>
      <c r="R220" s="9" t="s">
        <v>29</v>
      </c>
      <c r="S220" s="9" t="s">
        <v>29</v>
      </c>
      <c r="T220" s="9" t="s">
        <v>29</v>
      </c>
      <c r="U220" s="9" t="s">
        <v>29</v>
      </c>
      <c r="V220" s="16" t="s">
        <v>29</v>
      </c>
      <c r="W220" s="16" t="s">
        <v>29</v>
      </c>
      <c r="X220" s="16" t="s">
        <v>29</v>
      </c>
      <c r="Y220" s="16" t="s">
        <v>29</v>
      </c>
      <c r="AB220" s="9" t="s">
        <v>29</v>
      </c>
      <c r="AC220" s="9" t="s">
        <v>29</v>
      </c>
      <c r="AG220">
        <f>AK220</f>
        <v>7</v>
      </c>
      <c r="AK220">
        <f>L220</f>
        <v>7</v>
      </c>
      <c r="AM220" s="16" t="s">
        <v>29</v>
      </c>
      <c r="AN220" s="16" t="s">
        <v>29</v>
      </c>
      <c r="AO220" s="16" t="s">
        <v>29</v>
      </c>
      <c r="AP220" s="16" t="s">
        <v>29</v>
      </c>
      <c r="AQ220" t="str">
        <f t="shared" si="6"/>
        <v>NA</v>
      </c>
      <c r="AR220" t="str">
        <f t="shared" si="7"/>
        <v>NA</v>
      </c>
    </row>
    <row r="221" spans="1:44" ht="14.4" x14ac:dyDescent="0.3">
      <c r="A221" s="2">
        <v>15</v>
      </c>
      <c r="B221" s="2" t="s">
        <v>66</v>
      </c>
      <c r="C221" s="3">
        <v>35</v>
      </c>
      <c r="D221" s="3">
        <v>5</v>
      </c>
      <c r="E221" s="3" t="s">
        <v>60</v>
      </c>
      <c r="F221" s="3" t="s">
        <v>29</v>
      </c>
      <c r="G221" s="3" t="s">
        <v>29</v>
      </c>
      <c r="H221" s="3" t="s">
        <v>29</v>
      </c>
      <c r="I221" s="3" t="s">
        <v>29</v>
      </c>
      <c r="J221" s="3" t="s">
        <v>29</v>
      </c>
      <c r="K221" s="3" t="s">
        <v>29</v>
      </c>
      <c r="L221" s="3">
        <v>12</v>
      </c>
      <c r="M221" s="3" t="s">
        <v>29</v>
      </c>
      <c r="P221" s="9" t="s">
        <v>29</v>
      </c>
      <c r="Q221" s="9" t="s">
        <v>29</v>
      </c>
      <c r="R221" s="9" t="s">
        <v>29</v>
      </c>
      <c r="S221" s="9" t="s">
        <v>29</v>
      </c>
      <c r="T221" s="9" t="s">
        <v>29</v>
      </c>
      <c r="U221" s="9" t="s">
        <v>29</v>
      </c>
      <c r="V221" s="16" t="s">
        <v>29</v>
      </c>
      <c r="W221" s="16" t="s">
        <v>29</v>
      </c>
      <c r="X221" s="16" t="s">
        <v>29</v>
      </c>
      <c r="Y221" s="16" t="s">
        <v>29</v>
      </c>
      <c r="AB221" s="9" t="s">
        <v>29</v>
      </c>
      <c r="AC221" s="9" t="s">
        <v>29</v>
      </c>
      <c r="AG221">
        <f>AK221</f>
        <v>12</v>
      </c>
      <c r="AK221">
        <f>L221</f>
        <v>12</v>
      </c>
      <c r="AM221" s="16" t="s">
        <v>29</v>
      </c>
      <c r="AN221" s="16" t="s">
        <v>29</v>
      </c>
      <c r="AO221" s="16" t="s">
        <v>29</v>
      </c>
      <c r="AP221" s="16" t="s">
        <v>29</v>
      </c>
      <c r="AQ221" t="str">
        <f t="shared" si="6"/>
        <v>NA</v>
      </c>
      <c r="AR221" t="str">
        <f t="shared" si="7"/>
        <v>NA</v>
      </c>
    </row>
    <row r="222" spans="1:44" ht="14.4" x14ac:dyDescent="0.3">
      <c r="A222" s="2">
        <v>7</v>
      </c>
      <c r="B222" s="2" t="s">
        <v>71</v>
      </c>
      <c r="C222" s="3">
        <v>7</v>
      </c>
      <c r="D222" s="3">
        <v>1</v>
      </c>
      <c r="E222" s="3" t="s">
        <v>60</v>
      </c>
      <c r="F222" s="3" t="s">
        <v>29</v>
      </c>
      <c r="G222" s="3" t="s">
        <v>29</v>
      </c>
      <c r="H222" s="3" t="s">
        <v>29</v>
      </c>
      <c r="I222" s="3" t="s">
        <v>29</v>
      </c>
      <c r="J222" s="3" t="s">
        <v>29</v>
      </c>
      <c r="K222" s="3" t="s">
        <v>29</v>
      </c>
      <c r="L222" s="3" t="s">
        <v>29</v>
      </c>
      <c r="M222" s="3" t="s">
        <v>29</v>
      </c>
      <c r="P222" s="9" t="s">
        <v>29</v>
      </c>
      <c r="Q222" s="9" t="s">
        <v>29</v>
      </c>
      <c r="R222" s="9" t="s">
        <v>29</v>
      </c>
      <c r="S222" s="9" t="s">
        <v>29</v>
      </c>
      <c r="T222" s="9" t="s">
        <v>29</v>
      </c>
      <c r="U222" s="9" t="s">
        <v>29</v>
      </c>
      <c r="V222" s="16" t="s">
        <v>29</v>
      </c>
      <c r="W222" s="16" t="s">
        <v>29</v>
      </c>
      <c r="X222" s="16" t="s">
        <v>29</v>
      </c>
      <c r="Y222" s="16" t="s">
        <v>29</v>
      </c>
      <c r="AB222" s="9" t="s">
        <v>29</v>
      </c>
      <c r="AC222" s="9" t="s">
        <v>29</v>
      </c>
      <c r="AG222" t="str">
        <f>AK222</f>
        <v>NA</v>
      </c>
      <c r="AK222" t="str">
        <f>L222</f>
        <v>NA</v>
      </c>
      <c r="AM222" s="16" t="s">
        <v>29</v>
      </c>
      <c r="AN222" s="16" t="s">
        <v>29</v>
      </c>
      <c r="AO222" s="16" t="s">
        <v>29</v>
      </c>
      <c r="AP222" s="16" t="s">
        <v>29</v>
      </c>
      <c r="AQ222" t="str">
        <f t="shared" si="6"/>
        <v>NA</v>
      </c>
      <c r="AR222" t="str">
        <f t="shared" si="7"/>
        <v>NA</v>
      </c>
    </row>
    <row r="223" spans="1:44" ht="14.4" x14ac:dyDescent="0.3">
      <c r="A223" s="2">
        <v>7</v>
      </c>
      <c r="B223" s="2" t="s">
        <v>71</v>
      </c>
      <c r="C223" s="3">
        <v>14</v>
      </c>
      <c r="D223" s="3">
        <v>2</v>
      </c>
      <c r="E223" s="3" t="s">
        <v>60</v>
      </c>
      <c r="F223" s="3" t="s">
        <v>29</v>
      </c>
      <c r="G223" s="3" t="s">
        <v>29</v>
      </c>
      <c r="H223" s="3" t="s">
        <v>29</v>
      </c>
      <c r="I223" s="3" t="s">
        <v>29</v>
      </c>
      <c r="J223" s="3" t="s">
        <v>29</v>
      </c>
      <c r="K223" s="3" t="s">
        <v>29</v>
      </c>
      <c r="L223" s="3">
        <v>6</v>
      </c>
      <c r="M223" s="3" t="s">
        <v>29</v>
      </c>
      <c r="P223" s="9" t="s">
        <v>29</v>
      </c>
      <c r="Q223" s="9" t="s">
        <v>29</v>
      </c>
      <c r="R223" s="9" t="s">
        <v>29</v>
      </c>
      <c r="S223" s="9" t="s">
        <v>29</v>
      </c>
      <c r="T223" s="9" t="s">
        <v>29</v>
      </c>
      <c r="U223" s="9" t="s">
        <v>29</v>
      </c>
      <c r="V223" s="16" t="s">
        <v>29</v>
      </c>
      <c r="W223" s="16" t="s">
        <v>29</v>
      </c>
      <c r="X223" s="16" t="s">
        <v>29</v>
      </c>
      <c r="Y223" s="16" t="s">
        <v>29</v>
      </c>
      <c r="AB223" s="9" t="s">
        <v>29</v>
      </c>
      <c r="AC223" s="9" t="s">
        <v>29</v>
      </c>
      <c r="AG223">
        <f>AK223</f>
        <v>6</v>
      </c>
      <c r="AK223">
        <f>L223</f>
        <v>6</v>
      </c>
      <c r="AM223" s="16" t="s">
        <v>29</v>
      </c>
      <c r="AN223" s="16" t="s">
        <v>29</v>
      </c>
      <c r="AO223" s="16" t="s">
        <v>29</v>
      </c>
      <c r="AP223" s="16" t="s">
        <v>29</v>
      </c>
      <c r="AQ223" t="str">
        <f t="shared" si="6"/>
        <v>NA</v>
      </c>
      <c r="AR223" t="str">
        <f t="shared" si="7"/>
        <v>NA</v>
      </c>
    </row>
    <row r="224" spans="1:44" ht="14.4" x14ac:dyDescent="0.3">
      <c r="A224" s="2">
        <v>7</v>
      </c>
      <c r="B224" s="2" t="s">
        <v>71</v>
      </c>
      <c r="C224" s="3">
        <v>21</v>
      </c>
      <c r="D224" s="3">
        <v>3</v>
      </c>
      <c r="E224" s="3" t="s">
        <v>60</v>
      </c>
      <c r="F224" s="3" t="s">
        <v>29</v>
      </c>
      <c r="G224" s="3" t="s">
        <v>29</v>
      </c>
      <c r="H224" s="3" t="s">
        <v>29</v>
      </c>
      <c r="I224" s="3" t="s">
        <v>29</v>
      </c>
      <c r="J224" s="3" t="s">
        <v>29</v>
      </c>
      <c r="K224" s="3" t="s">
        <v>29</v>
      </c>
      <c r="L224" s="3">
        <v>11</v>
      </c>
      <c r="M224" s="3" t="s">
        <v>29</v>
      </c>
      <c r="P224" s="9" t="s">
        <v>29</v>
      </c>
      <c r="Q224" s="9" t="s">
        <v>29</v>
      </c>
      <c r="R224" s="9" t="s">
        <v>29</v>
      </c>
      <c r="S224" s="9" t="s">
        <v>29</v>
      </c>
      <c r="T224" s="9" t="s">
        <v>29</v>
      </c>
      <c r="U224" s="9" t="s">
        <v>29</v>
      </c>
      <c r="V224" s="16" t="s">
        <v>29</v>
      </c>
      <c r="W224" s="16" t="s">
        <v>29</v>
      </c>
      <c r="X224" s="16" t="s">
        <v>29</v>
      </c>
      <c r="Y224" s="16" t="s">
        <v>29</v>
      </c>
      <c r="AB224" s="9" t="s">
        <v>29</v>
      </c>
      <c r="AC224" s="9" t="s">
        <v>29</v>
      </c>
      <c r="AG224">
        <f>AK224</f>
        <v>11</v>
      </c>
      <c r="AK224">
        <f>L224</f>
        <v>11</v>
      </c>
      <c r="AM224" s="16" t="s">
        <v>29</v>
      </c>
      <c r="AN224" s="16" t="s">
        <v>29</v>
      </c>
      <c r="AO224" s="16" t="s">
        <v>29</v>
      </c>
      <c r="AP224" s="16" t="s">
        <v>29</v>
      </c>
      <c r="AQ224" t="str">
        <f t="shared" si="6"/>
        <v>NA</v>
      </c>
      <c r="AR224" t="str">
        <f t="shared" si="7"/>
        <v>NA</v>
      </c>
    </row>
    <row r="225" spans="1:44" ht="14.4" x14ac:dyDescent="0.3">
      <c r="A225" s="2">
        <v>7</v>
      </c>
      <c r="B225" s="2" t="s">
        <v>71</v>
      </c>
      <c r="C225" s="3">
        <v>28</v>
      </c>
      <c r="D225" s="3">
        <v>4</v>
      </c>
      <c r="E225" s="3" t="s">
        <v>60</v>
      </c>
      <c r="F225" s="3" t="s">
        <v>29</v>
      </c>
      <c r="G225" s="3" t="s">
        <v>29</v>
      </c>
      <c r="H225" s="3" t="s">
        <v>29</v>
      </c>
      <c r="I225" s="3" t="s">
        <v>29</v>
      </c>
      <c r="J225" s="3" t="s">
        <v>29</v>
      </c>
      <c r="K225" s="3" t="s">
        <v>29</v>
      </c>
      <c r="L225" s="3">
        <v>12</v>
      </c>
      <c r="M225" s="3" t="s">
        <v>29</v>
      </c>
      <c r="P225" s="9" t="s">
        <v>29</v>
      </c>
      <c r="Q225" s="9" t="s">
        <v>29</v>
      </c>
      <c r="R225" s="9" t="s">
        <v>29</v>
      </c>
      <c r="S225" s="9" t="s">
        <v>29</v>
      </c>
      <c r="T225" s="9" t="s">
        <v>29</v>
      </c>
      <c r="U225" s="9" t="s">
        <v>29</v>
      </c>
      <c r="V225" s="16" t="s">
        <v>29</v>
      </c>
      <c r="W225" s="16" t="s">
        <v>29</v>
      </c>
      <c r="X225" s="16" t="s">
        <v>29</v>
      </c>
      <c r="Y225" s="16" t="s">
        <v>29</v>
      </c>
      <c r="AB225" s="9" t="s">
        <v>29</v>
      </c>
      <c r="AC225" s="9" t="s">
        <v>29</v>
      </c>
      <c r="AG225">
        <f>AK225</f>
        <v>12</v>
      </c>
      <c r="AK225">
        <f>L225</f>
        <v>12</v>
      </c>
      <c r="AM225" s="16" t="s">
        <v>29</v>
      </c>
      <c r="AN225" s="16" t="s">
        <v>29</v>
      </c>
      <c r="AO225" s="16" t="s">
        <v>29</v>
      </c>
      <c r="AP225" s="16" t="s">
        <v>29</v>
      </c>
      <c r="AQ225" t="str">
        <f t="shared" si="6"/>
        <v>NA</v>
      </c>
      <c r="AR225" t="str">
        <f t="shared" si="7"/>
        <v>NA</v>
      </c>
    </row>
    <row r="226" spans="1:44" ht="14.4" x14ac:dyDescent="0.3">
      <c r="A226" s="2">
        <v>7</v>
      </c>
      <c r="B226" s="2" t="s">
        <v>71</v>
      </c>
      <c r="C226" s="3">
        <v>35</v>
      </c>
      <c r="D226" s="3">
        <v>5</v>
      </c>
      <c r="E226" s="3" t="s">
        <v>60</v>
      </c>
      <c r="F226" s="3" t="s">
        <v>29</v>
      </c>
      <c r="G226" s="3" t="s">
        <v>29</v>
      </c>
      <c r="H226" s="3" t="s">
        <v>29</v>
      </c>
      <c r="I226" s="3" t="s">
        <v>29</v>
      </c>
      <c r="J226" s="3" t="s">
        <v>29</v>
      </c>
      <c r="K226" s="3" t="s">
        <v>29</v>
      </c>
      <c r="L226" s="3">
        <v>2</v>
      </c>
      <c r="M226" s="3" t="s">
        <v>29</v>
      </c>
      <c r="P226" s="9" t="s">
        <v>29</v>
      </c>
      <c r="Q226" s="9" t="s">
        <v>29</v>
      </c>
      <c r="R226" s="9" t="s">
        <v>29</v>
      </c>
      <c r="S226" s="9" t="s">
        <v>29</v>
      </c>
      <c r="T226" s="9" t="s">
        <v>29</v>
      </c>
      <c r="U226" s="9" t="s">
        <v>29</v>
      </c>
      <c r="V226" s="16" t="s">
        <v>29</v>
      </c>
      <c r="W226" s="16" t="s">
        <v>29</v>
      </c>
      <c r="X226" s="16" t="s">
        <v>29</v>
      </c>
      <c r="Y226" s="16" t="s">
        <v>29</v>
      </c>
      <c r="AB226" s="9" t="s">
        <v>29</v>
      </c>
      <c r="AC226" s="9" t="s">
        <v>29</v>
      </c>
      <c r="AG226">
        <f>AK226</f>
        <v>2</v>
      </c>
      <c r="AK226">
        <f>L226</f>
        <v>2</v>
      </c>
      <c r="AM226" s="16" t="s">
        <v>29</v>
      </c>
      <c r="AN226" s="16" t="s">
        <v>29</v>
      </c>
      <c r="AO226" s="16" t="s">
        <v>29</v>
      </c>
      <c r="AP226" s="16" t="s">
        <v>29</v>
      </c>
      <c r="AQ226" t="str">
        <f t="shared" si="6"/>
        <v>NA</v>
      </c>
      <c r="AR226" t="str">
        <f t="shared" si="7"/>
        <v>NA</v>
      </c>
    </row>
    <row r="227" spans="1:44" ht="14.4" x14ac:dyDescent="0.3">
      <c r="A227" s="2">
        <v>3</v>
      </c>
      <c r="B227" s="2" t="s">
        <v>72</v>
      </c>
      <c r="C227" s="3">
        <v>7</v>
      </c>
      <c r="D227" s="3">
        <v>1</v>
      </c>
      <c r="E227" s="3" t="s">
        <v>60</v>
      </c>
      <c r="F227" s="3" t="s">
        <v>29</v>
      </c>
      <c r="G227" s="3" t="s">
        <v>29</v>
      </c>
      <c r="H227" s="3" t="s">
        <v>29</v>
      </c>
      <c r="I227" s="3" t="s">
        <v>29</v>
      </c>
      <c r="J227" s="3" t="s">
        <v>29</v>
      </c>
      <c r="K227" s="3" t="s">
        <v>29</v>
      </c>
      <c r="L227" s="3" t="s">
        <v>29</v>
      </c>
      <c r="M227" s="3" t="s">
        <v>29</v>
      </c>
      <c r="P227" s="9" t="s">
        <v>29</v>
      </c>
      <c r="Q227" s="9" t="s">
        <v>29</v>
      </c>
      <c r="R227" s="9" t="s">
        <v>29</v>
      </c>
      <c r="S227" s="9" t="s">
        <v>29</v>
      </c>
      <c r="T227" s="9" t="s">
        <v>29</v>
      </c>
      <c r="U227" s="9" t="s">
        <v>29</v>
      </c>
      <c r="V227" s="16" t="s">
        <v>29</v>
      </c>
      <c r="W227" s="16" t="s">
        <v>29</v>
      </c>
      <c r="X227" s="16" t="s">
        <v>29</v>
      </c>
      <c r="Y227" s="16" t="s">
        <v>29</v>
      </c>
      <c r="AB227" s="9" t="s">
        <v>29</v>
      </c>
      <c r="AC227" s="9" t="s">
        <v>29</v>
      </c>
      <c r="AG227" t="str">
        <f>AK227</f>
        <v>NA</v>
      </c>
      <c r="AK227" t="str">
        <f>L227</f>
        <v>NA</v>
      </c>
      <c r="AM227" s="16" t="s">
        <v>29</v>
      </c>
      <c r="AN227" s="16" t="s">
        <v>29</v>
      </c>
      <c r="AO227" s="16" t="s">
        <v>29</v>
      </c>
      <c r="AP227" s="16" t="s">
        <v>29</v>
      </c>
      <c r="AQ227" t="str">
        <f t="shared" si="6"/>
        <v>NA</v>
      </c>
      <c r="AR227" t="str">
        <f t="shared" si="7"/>
        <v>NA</v>
      </c>
    </row>
    <row r="228" spans="1:44" ht="14.4" x14ac:dyDescent="0.3">
      <c r="A228" s="2">
        <v>3</v>
      </c>
      <c r="B228" s="2" t="s">
        <v>72</v>
      </c>
      <c r="C228" s="3">
        <v>14</v>
      </c>
      <c r="D228" s="3">
        <v>2</v>
      </c>
      <c r="E228" s="3" t="s">
        <v>60</v>
      </c>
      <c r="F228" s="3" t="s">
        <v>29</v>
      </c>
      <c r="G228" s="3" t="s">
        <v>29</v>
      </c>
      <c r="H228" s="3" t="s">
        <v>29</v>
      </c>
      <c r="I228" s="3" t="s">
        <v>29</v>
      </c>
      <c r="J228" s="3" t="s">
        <v>29</v>
      </c>
      <c r="K228" s="3" t="s">
        <v>29</v>
      </c>
      <c r="L228" s="3">
        <v>13</v>
      </c>
      <c r="M228" s="3" t="s">
        <v>29</v>
      </c>
      <c r="P228" s="9" t="s">
        <v>29</v>
      </c>
      <c r="Q228" s="9" t="s">
        <v>29</v>
      </c>
      <c r="R228" s="9" t="s">
        <v>29</v>
      </c>
      <c r="S228" s="9" t="s">
        <v>29</v>
      </c>
      <c r="T228" s="9" t="s">
        <v>29</v>
      </c>
      <c r="U228" s="9" t="s">
        <v>29</v>
      </c>
      <c r="V228" s="16" t="s">
        <v>29</v>
      </c>
      <c r="W228" s="16" t="s">
        <v>29</v>
      </c>
      <c r="X228" s="16" t="s">
        <v>29</v>
      </c>
      <c r="Y228" s="16" t="s">
        <v>29</v>
      </c>
      <c r="AB228" s="9" t="s">
        <v>29</v>
      </c>
      <c r="AC228" s="9" t="s">
        <v>29</v>
      </c>
      <c r="AG228">
        <f>AK228</f>
        <v>13</v>
      </c>
      <c r="AK228">
        <f>L228</f>
        <v>13</v>
      </c>
      <c r="AM228" s="16" t="s">
        <v>29</v>
      </c>
      <c r="AN228" s="16" t="s">
        <v>29</v>
      </c>
      <c r="AO228" s="16" t="s">
        <v>29</v>
      </c>
      <c r="AP228" s="16" t="s">
        <v>29</v>
      </c>
      <c r="AQ228" t="str">
        <f t="shared" si="6"/>
        <v>NA</v>
      </c>
      <c r="AR228" t="str">
        <f t="shared" si="7"/>
        <v>NA</v>
      </c>
    </row>
    <row r="229" spans="1:44" ht="14.4" x14ac:dyDescent="0.3">
      <c r="A229" s="2">
        <v>3</v>
      </c>
      <c r="B229" s="2" t="s">
        <v>72</v>
      </c>
      <c r="C229" s="3">
        <v>21</v>
      </c>
      <c r="D229" s="3">
        <v>3</v>
      </c>
      <c r="E229" s="3" t="s">
        <v>60</v>
      </c>
      <c r="F229" s="3" t="s">
        <v>29</v>
      </c>
      <c r="G229" s="3" t="s">
        <v>29</v>
      </c>
      <c r="H229" s="3" t="s">
        <v>29</v>
      </c>
      <c r="I229" s="3" t="s">
        <v>29</v>
      </c>
      <c r="J229" s="3" t="s">
        <v>29</v>
      </c>
      <c r="K229" s="3" t="s">
        <v>29</v>
      </c>
      <c r="L229" s="3">
        <v>14</v>
      </c>
      <c r="M229" s="3" t="s">
        <v>29</v>
      </c>
      <c r="P229" s="9" t="s">
        <v>29</v>
      </c>
      <c r="Q229" s="9" t="s">
        <v>29</v>
      </c>
      <c r="R229" s="9" t="s">
        <v>29</v>
      </c>
      <c r="S229" s="9" t="s">
        <v>29</v>
      </c>
      <c r="T229" s="9" t="s">
        <v>29</v>
      </c>
      <c r="U229" s="9" t="s">
        <v>29</v>
      </c>
      <c r="V229" s="16" t="s">
        <v>29</v>
      </c>
      <c r="W229" s="16" t="s">
        <v>29</v>
      </c>
      <c r="X229" s="16" t="s">
        <v>29</v>
      </c>
      <c r="Y229" s="16" t="s">
        <v>29</v>
      </c>
      <c r="AB229" s="9" t="s">
        <v>29</v>
      </c>
      <c r="AC229" s="9" t="s">
        <v>29</v>
      </c>
      <c r="AG229">
        <f>AK229</f>
        <v>14</v>
      </c>
      <c r="AK229">
        <f>L229</f>
        <v>14</v>
      </c>
      <c r="AL229" s="3" t="s">
        <v>79</v>
      </c>
      <c r="AM229" s="16" t="s">
        <v>29</v>
      </c>
      <c r="AN229" s="16" t="s">
        <v>29</v>
      </c>
      <c r="AO229" s="16" t="s">
        <v>29</v>
      </c>
      <c r="AP229" s="16" t="s">
        <v>29</v>
      </c>
      <c r="AQ229" t="str">
        <f t="shared" si="6"/>
        <v>NA</v>
      </c>
      <c r="AR229" t="str">
        <f t="shared" si="7"/>
        <v>NA</v>
      </c>
    </row>
    <row r="230" spans="1:44" ht="14.4" x14ac:dyDescent="0.3">
      <c r="A230" s="2">
        <v>3</v>
      </c>
      <c r="B230" s="2" t="s">
        <v>72</v>
      </c>
      <c r="C230" s="3">
        <v>28</v>
      </c>
      <c r="D230" s="3">
        <v>4</v>
      </c>
      <c r="E230" s="3" t="s">
        <v>60</v>
      </c>
      <c r="F230" s="3" t="s">
        <v>29</v>
      </c>
      <c r="G230" s="3" t="s">
        <v>29</v>
      </c>
      <c r="H230" s="3" t="s">
        <v>29</v>
      </c>
      <c r="I230" s="3" t="s">
        <v>29</v>
      </c>
      <c r="J230" s="3" t="s">
        <v>29</v>
      </c>
      <c r="K230" s="3" t="s">
        <v>29</v>
      </c>
      <c r="L230" s="3">
        <v>7</v>
      </c>
      <c r="M230" s="3" t="s">
        <v>29</v>
      </c>
      <c r="P230" s="9" t="s">
        <v>29</v>
      </c>
      <c r="Q230" s="9" t="s">
        <v>29</v>
      </c>
      <c r="R230" s="9" t="s">
        <v>29</v>
      </c>
      <c r="S230" s="9" t="s">
        <v>29</v>
      </c>
      <c r="T230" s="9" t="s">
        <v>29</v>
      </c>
      <c r="U230" s="9" t="s">
        <v>29</v>
      </c>
      <c r="V230" s="16" t="s">
        <v>29</v>
      </c>
      <c r="W230" s="16" t="s">
        <v>29</v>
      </c>
      <c r="X230" s="16" t="s">
        <v>29</v>
      </c>
      <c r="Y230" s="16" t="s">
        <v>29</v>
      </c>
      <c r="AB230" s="9" t="s">
        <v>29</v>
      </c>
      <c r="AC230" s="9" t="s">
        <v>29</v>
      </c>
      <c r="AG230">
        <f>AK230</f>
        <v>7</v>
      </c>
      <c r="AK230">
        <f>L230</f>
        <v>7</v>
      </c>
      <c r="AM230" s="16" t="s">
        <v>29</v>
      </c>
      <c r="AN230" s="16" t="s">
        <v>29</v>
      </c>
      <c r="AO230" s="16" t="s">
        <v>29</v>
      </c>
      <c r="AP230" s="16" t="s">
        <v>29</v>
      </c>
      <c r="AQ230" t="str">
        <f t="shared" si="6"/>
        <v>NA</v>
      </c>
      <c r="AR230" t="str">
        <f t="shared" si="7"/>
        <v>NA</v>
      </c>
    </row>
    <row r="231" spans="1:44" ht="14.4" x14ac:dyDescent="0.3">
      <c r="A231" s="2">
        <v>3</v>
      </c>
      <c r="B231" s="2" t="s">
        <v>72</v>
      </c>
      <c r="C231" s="3">
        <v>35</v>
      </c>
      <c r="D231" s="3">
        <v>5</v>
      </c>
      <c r="E231" s="3" t="s">
        <v>60</v>
      </c>
      <c r="F231" s="3" t="s">
        <v>29</v>
      </c>
      <c r="G231" s="3" t="s">
        <v>29</v>
      </c>
      <c r="H231" s="3" t="s">
        <v>29</v>
      </c>
      <c r="I231" s="3" t="s">
        <v>29</v>
      </c>
      <c r="J231" s="3" t="s">
        <v>29</v>
      </c>
      <c r="K231" s="3" t="s">
        <v>29</v>
      </c>
      <c r="L231" s="3">
        <v>12</v>
      </c>
      <c r="M231" s="3" t="s">
        <v>29</v>
      </c>
      <c r="P231" s="9" t="s">
        <v>29</v>
      </c>
      <c r="Q231" s="9" t="s">
        <v>29</v>
      </c>
      <c r="R231" s="9" t="s">
        <v>29</v>
      </c>
      <c r="S231" s="9" t="s">
        <v>29</v>
      </c>
      <c r="T231" s="9" t="s">
        <v>29</v>
      </c>
      <c r="U231" s="9" t="s">
        <v>29</v>
      </c>
      <c r="V231" s="16" t="s">
        <v>29</v>
      </c>
      <c r="W231" s="16" t="s">
        <v>29</v>
      </c>
      <c r="X231" s="16" t="s">
        <v>29</v>
      </c>
      <c r="Y231" s="16" t="s">
        <v>29</v>
      </c>
      <c r="AB231" s="9" t="s">
        <v>29</v>
      </c>
      <c r="AC231" s="9" t="s">
        <v>29</v>
      </c>
      <c r="AG231">
        <f>AK231</f>
        <v>12</v>
      </c>
      <c r="AK231">
        <f>L231</f>
        <v>12</v>
      </c>
      <c r="AM231" s="16" t="s">
        <v>29</v>
      </c>
      <c r="AN231" s="16" t="s">
        <v>29</v>
      </c>
      <c r="AO231" s="16" t="s">
        <v>29</v>
      </c>
      <c r="AP231" s="16" t="s">
        <v>29</v>
      </c>
      <c r="AQ231" t="str">
        <f t="shared" si="6"/>
        <v>NA</v>
      </c>
      <c r="AR231" t="str">
        <f t="shared" si="7"/>
        <v>NA</v>
      </c>
    </row>
    <row r="232" spans="1:44" ht="14.4" x14ac:dyDescent="0.3">
      <c r="A232" s="2">
        <v>1</v>
      </c>
      <c r="B232" s="2" t="s">
        <v>65</v>
      </c>
      <c r="C232" s="3">
        <v>7</v>
      </c>
      <c r="D232" s="3">
        <v>1</v>
      </c>
      <c r="E232" s="3" t="s">
        <v>60</v>
      </c>
      <c r="F232" s="3" t="s">
        <v>29</v>
      </c>
      <c r="G232" s="3" t="s">
        <v>29</v>
      </c>
      <c r="H232" s="3" t="s">
        <v>29</v>
      </c>
      <c r="I232" s="3" t="s">
        <v>29</v>
      </c>
      <c r="J232" s="3" t="s">
        <v>29</v>
      </c>
      <c r="K232" s="3" t="s">
        <v>29</v>
      </c>
      <c r="L232" s="3" t="s">
        <v>29</v>
      </c>
      <c r="M232" s="3" t="s">
        <v>29</v>
      </c>
      <c r="P232" s="9" t="s">
        <v>29</v>
      </c>
      <c r="Q232" s="9" t="s">
        <v>29</v>
      </c>
      <c r="R232" s="9" t="s">
        <v>29</v>
      </c>
      <c r="S232" s="9" t="s">
        <v>29</v>
      </c>
      <c r="T232" s="9" t="s">
        <v>29</v>
      </c>
      <c r="U232" s="9" t="s">
        <v>29</v>
      </c>
      <c r="V232" s="16" t="s">
        <v>29</v>
      </c>
      <c r="W232" s="16" t="s">
        <v>29</v>
      </c>
      <c r="X232" s="16" t="s">
        <v>29</v>
      </c>
      <c r="Y232" s="16" t="s">
        <v>29</v>
      </c>
      <c r="AB232" s="9" t="s">
        <v>29</v>
      </c>
      <c r="AC232" s="9" t="s">
        <v>29</v>
      </c>
      <c r="AG232" t="str">
        <f>AK232</f>
        <v>NA</v>
      </c>
      <c r="AK232" t="str">
        <f>L232</f>
        <v>NA</v>
      </c>
      <c r="AM232" s="16" t="s">
        <v>29</v>
      </c>
      <c r="AN232" s="16" t="s">
        <v>29</v>
      </c>
      <c r="AO232" s="16" t="s">
        <v>29</v>
      </c>
      <c r="AP232" s="16" t="s">
        <v>29</v>
      </c>
      <c r="AQ232" t="str">
        <f t="shared" si="6"/>
        <v>NA</v>
      </c>
      <c r="AR232" t="str">
        <f t="shared" si="7"/>
        <v>NA</v>
      </c>
    </row>
    <row r="233" spans="1:44" ht="14.4" x14ac:dyDescent="0.3">
      <c r="A233" s="2">
        <v>1</v>
      </c>
      <c r="B233" s="2" t="s">
        <v>65</v>
      </c>
      <c r="C233" s="3">
        <v>14</v>
      </c>
      <c r="D233" s="3">
        <v>2</v>
      </c>
      <c r="E233" s="3" t="s">
        <v>60</v>
      </c>
      <c r="F233" s="3" t="s">
        <v>29</v>
      </c>
      <c r="G233" s="3" t="s">
        <v>29</v>
      </c>
      <c r="H233" s="3" t="s">
        <v>29</v>
      </c>
      <c r="I233" s="3" t="s">
        <v>29</v>
      </c>
      <c r="J233" s="3" t="s">
        <v>29</v>
      </c>
      <c r="K233" s="3" t="s">
        <v>29</v>
      </c>
      <c r="L233" s="3" t="s">
        <v>29</v>
      </c>
      <c r="M233" s="3" t="s">
        <v>29</v>
      </c>
      <c r="P233" s="9" t="s">
        <v>29</v>
      </c>
      <c r="Q233" s="9" t="s">
        <v>29</v>
      </c>
      <c r="R233" s="9" t="s">
        <v>29</v>
      </c>
      <c r="S233" s="9" t="s">
        <v>29</v>
      </c>
      <c r="T233" s="9" t="s">
        <v>29</v>
      </c>
      <c r="U233" s="9" t="s">
        <v>29</v>
      </c>
      <c r="V233" s="16" t="s">
        <v>29</v>
      </c>
      <c r="W233" s="16" t="s">
        <v>29</v>
      </c>
      <c r="X233" s="16" t="s">
        <v>29</v>
      </c>
      <c r="Y233" s="16" t="s">
        <v>29</v>
      </c>
      <c r="AB233" s="9" t="s">
        <v>29</v>
      </c>
      <c r="AC233" s="9" t="s">
        <v>29</v>
      </c>
      <c r="AG233" t="str">
        <f>AK233</f>
        <v>NA</v>
      </c>
      <c r="AK233" t="str">
        <f>L233</f>
        <v>NA</v>
      </c>
      <c r="AM233" s="16" t="s">
        <v>29</v>
      </c>
      <c r="AN233" s="16" t="s">
        <v>29</v>
      </c>
      <c r="AO233" s="16" t="s">
        <v>29</v>
      </c>
      <c r="AP233" s="16" t="s">
        <v>29</v>
      </c>
      <c r="AQ233" t="str">
        <f t="shared" si="6"/>
        <v>NA</v>
      </c>
      <c r="AR233" t="str">
        <f t="shared" si="7"/>
        <v>NA</v>
      </c>
    </row>
    <row r="234" spans="1:44" ht="14.4" x14ac:dyDescent="0.3">
      <c r="A234" s="2">
        <v>1</v>
      </c>
      <c r="B234" s="2" t="s">
        <v>65</v>
      </c>
      <c r="C234" s="3">
        <v>21</v>
      </c>
      <c r="D234" s="3">
        <v>3</v>
      </c>
      <c r="E234" s="3" t="s">
        <v>60</v>
      </c>
      <c r="F234" s="3" t="s">
        <v>29</v>
      </c>
      <c r="G234" s="3" t="s">
        <v>29</v>
      </c>
      <c r="H234" s="3" t="s">
        <v>29</v>
      </c>
      <c r="I234" s="3" t="s">
        <v>29</v>
      </c>
      <c r="J234" s="3" t="s">
        <v>29</v>
      </c>
      <c r="K234" s="3" t="s">
        <v>29</v>
      </c>
      <c r="L234" s="3">
        <v>31</v>
      </c>
      <c r="M234" s="3" t="s">
        <v>29</v>
      </c>
      <c r="P234" s="9" t="s">
        <v>29</v>
      </c>
      <c r="Q234" s="9" t="s">
        <v>29</v>
      </c>
      <c r="R234" s="9" t="s">
        <v>29</v>
      </c>
      <c r="S234" s="9" t="s">
        <v>29</v>
      </c>
      <c r="T234" s="9" t="s">
        <v>29</v>
      </c>
      <c r="U234" s="9" t="s">
        <v>29</v>
      </c>
      <c r="V234" s="16" t="s">
        <v>29</v>
      </c>
      <c r="W234" s="16" t="s">
        <v>29</v>
      </c>
      <c r="X234" s="16" t="s">
        <v>29</v>
      </c>
      <c r="Y234" s="16" t="s">
        <v>29</v>
      </c>
      <c r="AB234" s="9" t="s">
        <v>29</v>
      </c>
      <c r="AC234" s="9" t="s">
        <v>29</v>
      </c>
      <c r="AG234">
        <f>AK234</f>
        <v>31</v>
      </c>
      <c r="AK234">
        <f>L234</f>
        <v>31</v>
      </c>
      <c r="AM234" s="16" t="s">
        <v>29</v>
      </c>
      <c r="AN234" s="16" t="s">
        <v>29</v>
      </c>
      <c r="AO234" s="16" t="s">
        <v>29</v>
      </c>
      <c r="AP234" s="16" t="s">
        <v>29</v>
      </c>
      <c r="AQ234" t="str">
        <f t="shared" si="6"/>
        <v>NA</v>
      </c>
      <c r="AR234" t="str">
        <f t="shared" si="7"/>
        <v>NA</v>
      </c>
    </row>
    <row r="235" spans="1:44" ht="14.4" x14ac:dyDescent="0.3">
      <c r="A235" s="2">
        <v>1</v>
      </c>
      <c r="B235" s="2" t="s">
        <v>65</v>
      </c>
      <c r="C235" s="3">
        <v>28</v>
      </c>
      <c r="D235" s="3">
        <v>4</v>
      </c>
      <c r="E235" s="3" t="s">
        <v>60</v>
      </c>
      <c r="F235" s="3" t="s">
        <v>29</v>
      </c>
      <c r="G235" s="3" t="s">
        <v>29</v>
      </c>
      <c r="H235" s="3" t="s">
        <v>29</v>
      </c>
      <c r="I235" s="3" t="s">
        <v>29</v>
      </c>
      <c r="J235" s="3" t="s">
        <v>29</v>
      </c>
      <c r="K235" s="3" t="s">
        <v>29</v>
      </c>
      <c r="L235" s="3">
        <v>28</v>
      </c>
      <c r="M235" s="3" t="s">
        <v>29</v>
      </c>
      <c r="P235" s="9" t="s">
        <v>29</v>
      </c>
      <c r="Q235" s="9" t="s">
        <v>29</v>
      </c>
      <c r="R235" s="9" t="s">
        <v>29</v>
      </c>
      <c r="S235" s="9" t="s">
        <v>29</v>
      </c>
      <c r="T235" s="9" t="s">
        <v>29</v>
      </c>
      <c r="U235" s="9" t="s">
        <v>29</v>
      </c>
      <c r="V235" s="16" t="s">
        <v>29</v>
      </c>
      <c r="W235" s="16" t="s">
        <v>29</v>
      </c>
      <c r="X235" s="16" t="s">
        <v>29</v>
      </c>
      <c r="Y235" s="16" t="s">
        <v>29</v>
      </c>
      <c r="AB235" s="9" t="s">
        <v>29</v>
      </c>
      <c r="AC235" s="9" t="s">
        <v>29</v>
      </c>
      <c r="AG235">
        <f>AK235</f>
        <v>28</v>
      </c>
      <c r="AK235">
        <f>L235</f>
        <v>28</v>
      </c>
      <c r="AM235" s="16" t="s">
        <v>29</v>
      </c>
      <c r="AN235" s="16" t="s">
        <v>29</v>
      </c>
      <c r="AO235" s="16" t="s">
        <v>29</v>
      </c>
      <c r="AP235" s="16" t="s">
        <v>29</v>
      </c>
      <c r="AQ235" t="str">
        <f t="shared" si="6"/>
        <v>NA</v>
      </c>
      <c r="AR235" t="str">
        <f t="shared" si="7"/>
        <v>NA</v>
      </c>
    </row>
    <row r="236" spans="1:44" ht="14.4" x14ac:dyDescent="0.3">
      <c r="A236" s="2">
        <v>1</v>
      </c>
      <c r="B236" s="2" t="s">
        <v>65</v>
      </c>
      <c r="C236" s="3">
        <v>35</v>
      </c>
      <c r="D236" s="3">
        <v>5</v>
      </c>
      <c r="E236" s="3" t="s">
        <v>60</v>
      </c>
      <c r="F236" s="3" t="s">
        <v>29</v>
      </c>
      <c r="G236" s="3" t="s">
        <v>29</v>
      </c>
      <c r="H236" s="3" t="s">
        <v>29</v>
      </c>
      <c r="I236" s="3" t="s">
        <v>29</v>
      </c>
      <c r="J236" s="3" t="s">
        <v>29</v>
      </c>
      <c r="K236" s="3" t="s">
        <v>29</v>
      </c>
      <c r="L236" s="3">
        <v>28</v>
      </c>
      <c r="M236" s="3" t="s">
        <v>29</v>
      </c>
      <c r="P236" s="9" t="s">
        <v>29</v>
      </c>
      <c r="Q236" s="9" t="s">
        <v>29</v>
      </c>
      <c r="R236" s="9" t="s">
        <v>29</v>
      </c>
      <c r="S236" s="9" t="s">
        <v>29</v>
      </c>
      <c r="T236" s="9" t="s">
        <v>29</v>
      </c>
      <c r="U236" s="9" t="s">
        <v>29</v>
      </c>
      <c r="V236" s="16" t="s">
        <v>29</v>
      </c>
      <c r="W236" s="16" t="s">
        <v>29</v>
      </c>
      <c r="X236" s="16" t="s">
        <v>29</v>
      </c>
      <c r="Y236" s="16" t="s">
        <v>29</v>
      </c>
      <c r="AB236" s="9" t="s">
        <v>29</v>
      </c>
      <c r="AC236" s="9" t="s">
        <v>29</v>
      </c>
      <c r="AG236">
        <f>AK236</f>
        <v>28</v>
      </c>
      <c r="AK236">
        <f>L236</f>
        <v>28</v>
      </c>
      <c r="AM236" s="16" t="s">
        <v>29</v>
      </c>
      <c r="AN236" s="16" t="s">
        <v>29</v>
      </c>
      <c r="AO236" s="16" t="s">
        <v>29</v>
      </c>
      <c r="AP236" s="16" t="s">
        <v>29</v>
      </c>
      <c r="AQ236" t="str">
        <f t="shared" si="6"/>
        <v>NA</v>
      </c>
      <c r="AR236" t="str">
        <f t="shared" si="7"/>
        <v>NA</v>
      </c>
    </row>
    <row r="237" spans="1:44" ht="14.4" x14ac:dyDescent="0.3">
      <c r="A237" s="2">
        <v>17</v>
      </c>
      <c r="B237" s="2" t="s">
        <v>81</v>
      </c>
      <c r="C237" s="3">
        <v>7</v>
      </c>
      <c r="D237" s="3">
        <v>1</v>
      </c>
      <c r="E237" s="3" t="s">
        <v>60</v>
      </c>
      <c r="F237" s="3" t="s">
        <v>29</v>
      </c>
      <c r="G237" s="3" t="s">
        <v>29</v>
      </c>
      <c r="H237" s="3" t="s">
        <v>29</v>
      </c>
      <c r="I237" s="3" t="s">
        <v>29</v>
      </c>
      <c r="J237" s="3" t="s">
        <v>29</v>
      </c>
      <c r="K237" s="3" t="s">
        <v>29</v>
      </c>
      <c r="L237" s="3" t="s">
        <v>29</v>
      </c>
      <c r="M237" s="3" t="s">
        <v>29</v>
      </c>
      <c r="P237" s="9" t="s">
        <v>29</v>
      </c>
      <c r="Q237" s="9" t="s">
        <v>29</v>
      </c>
      <c r="R237" s="9" t="s">
        <v>29</v>
      </c>
      <c r="S237" s="9" t="s">
        <v>29</v>
      </c>
      <c r="T237" s="9" t="s">
        <v>29</v>
      </c>
      <c r="U237" s="9" t="s">
        <v>29</v>
      </c>
      <c r="V237" s="16" t="s">
        <v>29</v>
      </c>
      <c r="W237" s="16" t="s">
        <v>29</v>
      </c>
      <c r="X237" s="16" t="s">
        <v>29</v>
      </c>
      <c r="Y237" s="16" t="s">
        <v>29</v>
      </c>
      <c r="AB237" s="9" t="s">
        <v>29</v>
      </c>
      <c r="AC237" s="9" t="s">
        <v>29</v>
      </c>
      <c r="AG237" t="str">
        <f>AK237</f>
        <v>NA</v>
      </c>
      <c r="AK237" t="str">
        <f>L237</f>
        <v>NA</v>
      </c>
      <c r="AM237" s="16" t="s">
        <v>29</v>
      </c>
      <c r="AN237" s="16" t="s">
        <v>29</v>
      </c>
      <c r="AO237" s="16" t="s">
        <v>29</v>
      </c>
      <c r="AP237" s="16" t="s">
        <v>29</v>
      </c>
      <c r="AQ237" t="str">
        <f t="shared" si="6"/>
        <v>NA</v>
      </c>
      <c r="AR237" t="str">
        <f t="shared" si="7"/>
        <v>NA</v>
      </c>
    </row>
    <row r="238" spans="1:44" ht="14.4" x14ac:dyDescent="0.3">
      <c r="A238" s="2">
        <v>17</v>
      </c>
      <c r="B238" s="2" t="s">
        <v>81</v>
      </c>
      <c r="C238" s="3">
        <v>14</v>
      </c>
      <c r="D238" s="3">
        <v>2</v>
      </c>
      <c r="E238" s="3" t="s">
        <v>60</v>
      </c>
      <c r="F238" s="3" t="s">
        <v>29</v>
      </c>
      <c r="G238" s="3" t="s">
        <v>29</v>
      </c>
      <c r="H238" s="3" t="s">
        <v>29</v>
      </c>
      <c r="I238" s="3" t="s">
        <v>29</v>
      </c>
      <c r="J238" s="3" t="s">
        <v>29</v>
      </c>
      <c r="K238" s="3" t="s">
        <v>29</v>
      </c>
      <c r="L238" s="3">
        <v>7</v>
      </c>
      <c r="M238" s="3" t="s">
        <v>29</v>
      </c>
      <c r="P238" s="9" t="s">
        <v>29</v>
      </c>
      <c r="Q238" s="9" t="s">
        <v>29</v>
      </c>
      <c r="R238" s="9" t="s">
        <v>29</v>
      </c>
      <c r="S238" s="9" t="s">
        <v>29</v>
      </c>
      <c r="T238" s="9" t="s">
        <v>29</v>
      </c>
      <c r="U238" s="9" t="s">
        <v>29</v>
      </c>
      <c r="V238" s="16" t="s">
        <v>29</v>
      </c>
      <c r="W238" s="16" t="s">
        <v>29</v>
      </c>
      <c r="X238" s="16" t="s">
        <v>29</v>
      </c>
      <c r="Y238" s="16" t="s">
        <v>29</v>
      </c>
      <c r="AB238" s="9" t="s">
        <v>29</v>
      </c>
      <c r="AC238" s="9" t="s">
        <v>29</v>
      </c>
      <c r="AG238">
        <f>AK238</f>
        <v>7</v>
      </c>
      <c r="AK238">
        <f>L238</f>
        <v>7</v>
      </c>
      <c r="AM238" s="16" t="s">
        <v>29</v>
      </c>
      <c r="AN238" s="16" t="s">
        <v>29</v>
      </c>
      <c r="AO238" s="16" t="s">
        <v>29</v>
      </c>
      <c r="AP238" s="16" t="s">
        <v>29</v>
      </c>
      <c r="AQ238" t="str">
        <f t="shared" si="6"/>
        <v>NA</v>
      </c>
      <c r="AR238" t="str">
        <f t="shared" si="7"/>
        <v>NA</v>
      </c>
    </row>
    <row r="239" spans="1:44" ht="14.4" x14ac:dyDescent="0.3">
      <c r="A239" s="2">
        <v>17</v>
      </c>
      <c r="B239" s="2" t="s">
        <v>81</v>
      </c>
      <c r="C239" s="3">
        <v>21</v>
      </c>
      <c r="D239" s="3">
        <v>3</v>
      </c>
      <c r="E239" s="3" t="s">
        <v>60</v>
      </c>
      <c r="F239" s="3" t="s">
        <v>29</v>
      </c>
      <c r="G239" s="3" t="s">
        <v>29</v>
      </c>
      <c r="H239" s="3" t="s">
        <v>29</v>
      </c>
      <c r="I239" s="3" t="s">
        <v>29</v>
      </c>
      <c r="J239" s="3" t="s">
        <v>29</v>
      </c>
      <c r="K239" s="3" t="s">
        <v>29</v>
      </c>
      <c r="L239" s="3" t="s">
        <v>29</v>
      </c>
      <c r="M239" s="3" t="s">
        <v>29</v>
      </c>
      <c r="P239" s="9" t="s">
        <v>29</v>
      </c>
      <c r="Q239" s="9" t="s">
        <v>29</v>
      </c>
      <c r="R239" s="9" t="s">
        <v>29</v>
      </c>
      <c r="S239" s="9" t="s">
        <v>29</v>
      </c>
      <c r="T239" s="9" t="s">
        <v>29</v>
      </c>
      <c r="U239" s="9" t="s">
        <v>29</v>
      </c>
      <c r="V239" s="16" t="s">
        <v>29</v>
      </c>
      <c r="W239" s="16" t="s">
        <v>29</v>
      </c>
      <c r="X239" s="16" t="s">
        <v>29</v>
      </c>
      <c r="Y239" s="16" t="s">
        <v>29</v>
      </c>
      <c r="AB239" s="9" t="s">
        <v>29</v>
      </c>
      <c r="AC239" s="9" t="s">
        <v>29</v>
      </c>
      <c r="AG239" t="str">
        <f>AK239</f>
        <v>NA</v>
      </c>
      <c r="AK239" t="str">
        <f>L239</f>
        <v>NA</v>
      </c>
      <c r="AL239" s="3" t="s">
        <v>79</v>
      </c>
      <c r="AM239" s="16" t="s">
        <v>29</v>
      </c>
      <c r="AN239" s="16" t="s">
        <v>29</v>
      </c>
      <c r="AO239" s="16" t="s">
        <v>29</v>
      </c>
      <c r="AP239" s="16" t="s">
        <v>29</v>
      </c>
      <c r="AQ239" t="str">
        <f t="shared" si="6"/>
        <v>NA</v>
      </c>
      <c r="AR239" t="str">
        <f t="shared" si="7"/>
        <v>NA</v>
      </c>
    </row>
    <row r="240" spans="1:44" ht="14.4" x14ac:dyDescent="0.3">
      <c r="A240" s="2">
        <v>17</v>
      </c>
      <c r="B240" s="2" t="s">
        <v>81</v>
      </c>
      <c r="C240" s="3">
        <v>28</v>
      </c>
      <c r="D240" s="3">
        <v>4</v>
      </c>
      <c r="E240" s="3" t="s">
        <v>60</v>
      </c>
      <c r="F240" s="3" t="s">
        <v>29</v>
      </c>
      <c r="G240" s="3" t="s">
        <v>29</v>
      </c>
      <c r="H240" s="3" t="s">
        <v>29</v>
      </c>
      <c r="I240" s="3" t="s">
        <v>29</v>
      </c>
      <c r="J240" s="3" t="s">
        <v>29</v>
      </c>
      <c r="K240" s="3" t="s">
        <v>29</v>
      </c>
      <c r="L240" s="3">
        <v>8</v>
      </c>
      <c r="M240" s="3" t="s">
        <v>29</v>
      </c>
      <c r="P240" s="9" t="s">
        <v>29</v>
      </c>
      <c r="Q240" s="9" t="s">
        <v>29</v>
      </c>
      <c r="R240" s="9" t="s">
        <v>29</v>
      </c>
      <c r="S240" s="9" t="s">
        <v>29</v>
      </c>
      <c r="T240" s="9" t="s">
        <v>29</v>
      </c>
      <c r="U240" s="9" t="s">
        <v>29</v>
      </c>
      <c r="V240" s="16" t="s">
        <v>29</v>
      </c>
      <c r="W240" s="16" t="s">
        <v>29</v>
      </c>
      <c r="X240" s="16" t="s">
        <v>29</v>
      </c>
      <c r="Y240" s="16" t="s">
        <v>29</v>
      </c>
      <c r="AB240" s="9" t="s">
        <v>29</v>
      </c>
      <c r="AC240" s="9" t="s">
        <v>29</v>
      </c>
      <c r="AG240">
        <f>AK240</f>
        <v>8</v>
      </c>
      <c r="AK240">
        <f>L240</f>
        <v>8</v>
      </c>
      <c r="AM240" s="16" t="s">
        <v>29</v>
      </c>
      <c r="AN240" s="16" t="s">
        <v>29</v>
      </c>
      <c r="AO240" s="16" t="s">
        <v>29</v>
      </c>
      <c r="AP240" s="16" t="s">
        <v>29</v>
      </c>
      <c r="AQ240" t="str">
        <f t="shared" si="6"/>
        <v>NA</v>
      </c>
      <c r="AR240" t="str">
        <f t="shared" si="7"/>
        <v>NA</v>
      </c>
    </row>
    <row r="241" spans="1:44" ht="14.4" x14ac:dyDescent="0.3">
      <c r="A241" s="2">
        <v>17</v>
      </c>
      <c r="B241" s="2" t="s">
        <v>81</v>
      </c>
      <c r="C241" s="3">
        <v>35</v>
      </c>
      <c r="D241" s="3">
        <v>5</v>
      </c>
      <c r="E241" s="3" t="s">
        <v>60</v>
      </c>
      <c r="F241" s="3" t="s">
        <v>29</v>
      </c>
      <c r="G241" s="3" t="s">
        <v>29</v>
      </c>
      <c r="H241" s="3" t="s">
        <v>29</v>
      </c>
      <c r="I241" s="3" t="s">
        <v>29</v>
      </c>
      <c r="J241" s="3" t="s">
        <v>29</v>
      </c>
      <c r="K241" s="3" t="s">
        <v>29</v>
      </c>
      <c r="L241" s="3">
        <v>12</v>
      </c>
      <c r="M241" s="3" t="s">
        <v>29</v>
      </c>
      <c r="P241" s="9" t="s">
        <v>29</v>
      </c>
      <c r="Q241" s="9" t="s">
        <v>29</v>
      </c>
      <c r="R241" s="9" t="s">
        <v>29</v>
      </c>
      <c r="S241" s="9" t="s">
        <v>29</v>
      </c>
      <c r="T241" s="9" t="s">
        <v>29</v>
      </c>
      <c r="U241" s="9" t="s">
        <v>29</v>
      </c>
      <c r="V241" s="16" t="s">
        <v>29</v>
      </c>
      <c r="W241" s="16" t="s">
        <v>29</v>
      </c>
      <c r="X241" s="16" t="s">
        <v>29</v>
      </c>
      <c r="Y241" s="16" t="s">
        <v>29</v>
      </c>
      <c r="AB241" s="9" t="s">
        <v>29</v>
      </c>
      <c r="AC241" s="9" t="s">
        <v>29</v>
      </c>
      <c r="AG241">
        <f>AK241</f>
        <v>12</v>
      </c>
      <c r="AK241">
        <f>L241</f>
        <v>12</v>
      </c>
      <c r="AM241" s="16" t="s">
        <v>29</v>
      </c>
      <c r="AN241" s="16" t="s">
        <v>29</v>
      </c>
      <c r="AO241" s="16" t="s">
        <v>29</v>
      </c>
      <c r="AP241" s="16" t="s">
        <v>29</v>
      </c>
      <c r="AQ241" t="str">
        <f t="shared" si="6"/>
        <v>NA</v>
      </c>
      <c r="AR241" t="str">
        <f t="shared" si="7"/>
        <v>NA</v>
      </c>
    </row>
    <row r="242" spans="1:44" ht="14.4" x14ac:dyDescent="0.3">
      <c r="A242" s="2">
        <v>29</v>
      </c>
      <c r="B242" s="2" t="s">
        <v>68</v>
      </c>
      <c r="C242" s="3">
        <v>7</v>
      </c>
      <c r="D242" s="3">
        <v>1</v>
      </c>
      <c r="E242" s="3" t="s">
        <v>60</v>
      </c>
      <c r="F242" s="3" t="s">
        <v>29</v>
      </c>
      <c r="G242" s="3" t="s">
        <v>29</v>
      </c>
      <c r="H242" s="3" t="s">
        <v>29</v>
      </c>
      <c r="I242" s="3" t="s">
        <v>29</v>
      </c>
      <c r="J242" s="3" t="s">
        <v>29</v>
      </c>
      <c r="K242" s="3" t="s">
        <v>29</v>
      </c>
      <c r="L242" s="3" t="s">
        <v>29</v>
      </c>
      <c r="M242" s="3" t="s">
        <v>29</v>
      </c>
      <c r="P242" s="9" t="s">
        <v>29</v>
      </c>
      <c r="Q242" s="9" t="s">
        <v>29</v>
      </c>
      <c r="R242" s="9" t="s">
        <v>29</v>
      </c>
      <c r="S242" s="9" t="s">
        <v>29</v>
      </c>
      <c r="T242" s="9" t="s">
        <v>29</v>
      </c>
      <c r="U242" s="9" t="s">
        <v>29</v>
      </c>
      <c r="V242" s="16" t="s">
        <v>29</v>
      </c>
      <c r="W242" s="16" t="s">
        <v>29</v>
      </c>
      <c r="X242" s="16" t="s">
        <v>29</v>
      </c>
      <c r="Y242" s="16" t="s">
        <v>29</v>
      </c>
      <c r="AB242" s="9" t="s">
        <v>29</v>
      </c>
      <c r="AC242" s="9" t="s">
        <v>29</v>
      </c>
      <c r="AG242" t="str">
        <f>AK242</f>
        <v>NA</v>
      </c>
      <c r="AK242" t="str">
        <f>L242</f>
        <v>NA</v>
      </c>
      <c r="AM242" s="16" t="s">
        <v>29</v>
      </c>
      <c r="AN242" s="16" t="s">
        <v>29</v>
      </c>
      <c r="AO242" s="16" t="s">
        <v>29</v>
      </c>
      <c r="AP242" s="16" t="s">
        <v>29</v>
      </c>
      <c r="AQ242" t="str">
        <f t="shared" si="6"/>
        <v>NA</v>
      </c>
      <c r="AR242" t="str">
        <f t="shared" si="7"/>
        <v>NA</v>
      </c>
    </row>
    <row r="243" spans="1:44" ht="14.4" x14ac:dyDescent="0.3">
      <c r="A243" s="2">
        <v>29</v>
      </c>
      <c r="B243" s="2" t="s">
        <v>68</v>
      </c>
      <c r="C243" s="3">
        <v>14</v>
      </c>
      <c r="D243" s="3">
        <v>2</v>
      </c>
      <c r="E243" s="3" t="s">
        <v>60</v>
      </c>
      <c r="F243" s="3" t="s">
        <v>29</v>
      </c>
      <c r="G243" s="3" t="s">
        <v>29</v>
      </c>
      <c r="H243" s="3" t="s">
        <v>29</v>
      </c>
      <c r="I243" s="3" t="s">
        <v>29</v>
      </c>
      <c r="J243" s="3" t="s">
        <v>29</v>
      </c>
      <c r="K243" s="3" t="s">
        <v>29</v>
      </c>
      <c r="L243" s="3">
        <v>7</v>
      </c>
      <c r="M243" s="3" t="s">
        <v>29</v>
      </c>
      <c r="P243" s="9" t="s">
        <v>29</v>
      </c>
      <c r="Q243" s="9" t="s">
        <v>29</v>
      </c>
      <c r="R243" s="9" t="s">
        <v>29</v>
      </c>
      <c r="S243" s="9" t="s">
        <v>29</v>
      </c>
      <c r="T243" s="9" t="s">
        <v>29</v>
      </c>
      <c r="U243" s="9" t="s">
        <v>29</v>
      </c>
      <c r="V243" s="16" t="s">
        <v>29</v>
      </c>
      <c r="W243" s="16" t="s">
        <v>29</v>
      </c>
      <c r="X243" s="16" t="s">
        <v>29</v>
      </c>
      <c r="Y243" s="16" t="s">
        <v>29</v>
      </c>
      <c r="AB243" s="9" t="s">
        <v>29</v>
      </c>
      <c r="AC243" s="9" t="s">
        <v>29</v>
      </c>
      <c r="AG243">
        <f>AK243</f>
        <v>7</v>
      </c>
      <c r="AK243">
        <f>L243</f>
        <v>7</v>
      </c>
      <c r="AM243" s="16" t="s">
        <v>29</v>
      </c>
      <c r="AN243" s="16" t="s">
        <v>29</v>
      </c>
      <c r="AO243" s="16" t="s">
        <v>29</v>
      </c>
      <c r="AP243" s="16" t="s">
        <v>29</v>
      </c>
      <c r="AQ243" t="str">
        <f t="shared" si="6"/>
        <v>NA</v>
      </c>
      <c r="AR243" t="str">
        <f t="shared" si="7"/>
        <v>NA</v>
      </c>
    </row>
    <row r="244" spans="1:44" ht="14.4" x14ac:dyDescent="0.3">
      <c r="A244" s="2">
        <v>29</v>
      </c>
      <c r="B244" s="2" t="s">
        <v>68</v>
      </c>
      <c r="C244" s="3">
        <v>21</v>
      </c>
      <c r="D244" s="3">
        <v>3</v>
      </c>
      <c r="E244" s="3" t="s">
        <v>60</v>
      </c>
      <c r="F244" s="3" t="s">
        <v>29</v>
      </c>
      <c r="G244" s="3" t="s">
        <v>29</v>
      </c>
      <c r="H244" s="3" t="s">
        <v>29</v>
      </c>
      <c r="I244" s="3" t="s">
        <v>29</v>
      </c>
      <c r="J244" s="3" t="s">
        <v>29</v>
      </c>
      <c r="K244" s="3" t="s">
        <v>29</v>
      </c>
      <c r="L244" s="3" t="s">
        <v>29</v>
      </c>
      <c r="M244" s="3" t="s">
        <v>29</v>
      </c>
      <c r="P244" s="9" t="s">
        <v>29</v>
      </c>
      <c r="Q244" s="9" t="s">
        <v>29</v>
      </c>
      <c r="R244" s="9" t="s">
        <v>29</v>
      </c>
      <c r="S244" s="9" t="s">
        <v>29</v>
      </c>
      <c r="T244" s="9" t="s">
        <v>29</v>
      </c>
      <c r="U244" s="9" t="s">
        <v>29</v>
      </c>
      <c r="V244" s="16" t="s">
        <v>29</v>
      </c>
      <c r="W244" s="16" t="s">
        <v>29</v>
      </c>
      <c r="X244" s="16" t="s">
        <v>29</v>
      </c>
      <c r="Y244" s="16" t="s">
        <v>29</v>
      </c>
      <c r="AB244" s="9" t="s">
        <v>29</v>
      </c>
      <c r="AC244" s="9" t="s">
        <v>29</v>
      </c>
      <c r="AG244" t="str">
        <f>AK244</f>
        <v>NA</v>
      </c>
      <c r="AK244" t="str">
        <f>L244</f>
        <v>NA</v>
      </c>
      <c r="AM244" s="16" t="s">
        <v>29</v>
      </c>
      <c r="AN244" s="16" t="s">
        <v>29</v>
      </c>
      <c r="AO244" s="16" t="s">
        <v>29</v>
      </c>
      <c r="AP244" s="16" t="s">
        <v>29</v>
      </c>
      <c r="AQ244" t="str">
        <f t="shared" si="6"/>
        <v>NA</v>
      </c>
      <c r="AR244" t="str">
        <f t="shared" si="7"/>
        <v>NA</v>
      </c>
    </row>
    <row r="245" spans="1:44" ht="14.4" x14ac:dyDescent="0.3">
      <c r="A245" s="2">
        <v>29</v>
      </c>
      <c r="B245" s="2" t="s">
        <v>68</v>
      </c>
      <c r="C245" s="3">
        <v>28</v>
      </c>
      <c r="D245" s="3">
        <v>4</v>
      </c>
      <c r="E245" s="3" t="s">
        <v>60</v>
      </c>
      <c r="F245" s="3" t="s">
        <v>29</v>
      </c>
      <c r="G245" s="3" t="s">
        <v>29</v>
      </c>
      <c r="H245" s="3" t="s">
        <v>29</v>
      </c>
      <c r="I245" s="3" t="s">
        <v>29</v>
      </c>
      <c r="J245" s="3" t="s">
        <v>29</v>
      </c>
      <c r="K245" s="3" t="s">
        <v>29</v>
      </c>
      <c r="L245" s="3">
        <v>15</v>
      </c>
      <c r="M245" s="3" t="s">
        <v>29</v>
      </c>
      <c r="P245" s="9" t="s">
        <v>29</v>
      </c>
      <c r="Q245" s="9" t="s">
        <v>29</v>
      </c>
      <c r="R245" s="9" t="s">
        <v>29</v>
      </c>
      <c r="S245" s="9" t="s">
        <v>29</v>
      </c>
      <c r="T245" s="9" t="s">
        <v>29</v>
      </c>
      <c r="U245" s="9" t="s">
        <v>29</v>
      </c>
      <c r="V245" s="16" t="s">
        <v>29</v>
      </c>
      <c r="W245" s="16" t="s">
        <v>29</v>
      </c>
      <c r="X245" s="16" t="s">
        <v>29</v>
      </c>
      <c r="Y245" s="16" t="s">
        <v>29</v>
      </c>
      <c r="AB245" s="9" t="s">
        <v>29</v>
      </c>
      <c r="AC245" s="9" t="s">
        <v>29</v>
      </c>
      <c r="AG245">
        <f>AK245</f>
        <v>15</v>
      </c>
      <c r="AK245">
        <f>L245</f>
        <v>15</v>
      </c>
      <c r="AM245" s="16" t="s">
        <v>29</v>
      </c>
      <c r="AN245" s="16" t="s">
        <v>29</v>
      </c>
      <c r="AO245" s="16" t="s">
        <v>29</v>
      </c>
      <c r="AP245" s="16" t="s">
        <v>29</v>
      </c>
      <c r="AQ245" t="str">
        <f t="shared" si="6"/>
        <v>NA</v>
      </c>
      <c r="AR245" t="str">
        <f t="shared" si="7"/>
        <v>NA</v>
      </c>
    </row>
    <row r="246" spans="1:44" ht="14.4" x14ac:dyDescent="0.3">
      <c r="A246" s="2">
        <v>29</v>
      </c>
      <c r="B246" s="2" t="s">
        <v>68</v>
      </c>
      <c r="C246" s="3">
        <v>35</v>
      </c>
      <c r="D246" s="3">
        <v>5</v>
      </c>
      <c r="E246" s="3" t="s">
        <v>60</v>
      </c>
      <c r="F246" s="3" t="s">
        <v>29</v>
      </c>
      <c r="G246" s="3" t="s">
        <v>29</v>
      </c>
      <c r="H246" s="3" t="s">
        <v>29</v>
      </c>
      <c r="I246" s="3" t="s">
        <v>29</v>
      </c>
      <c r="J246" s="3" t="s">
        <v>29</v>
      </c>
      <c r="K246" s="3" t="s">
        <v>29</v>
      </c>
      <c r="L246" s="3">
        <v>7</v>
      </c>
      <c r="M246" s="3" t="s">
        <v>29</v>
      </c>
      <c r="P246" s="9" t="s">
        <v>29</v>
      </c>
      <c r="Q246" s="9" t="s">
        <v>29</v>
      </c>
      <c r="R246" s="9" t="s">
        <v>29</v>
      </c>
      <c r="S246" s="9" t="s">
        <v>29</v>
      </c>
      <c r="T246" s="9" t="s">
        <v>29</v>
      </c>
      <c r="U246" s="9" t="s">
        <v>29</v>
      </c>
      <c r="V246" s="16" t="s">
        <v>29</v>
      </c>
      <c r="W246" s="16" t="s">
        <v>29</v>
      </c>
      <c r="X246" s="16" t="s">
        <v>29</v>
      </c>
      <c r="Y246" s="16" t="s">
        <v>29</v>
      </c>
      <c r="AB246" s="9" t="s">
        <v>29</v>
      </c>
      <c r="AC246" s="9" t="s">
        <v>29</v>
      </c>
      <c r="AG246">
        <f>AK246</f>
        <v>7</v>
      </c>
      <c r="AK246">
        <f>L246</f>
        <v>7</v>
      </c>
      <c r="AM246" s="16" t="s">
        <v>29</v>
      </c>
      <c r="AN246" s="16" t="s">
        <v>29</v>
      </c>
      <c r="AO246" s="16" t="s">
        <v>29</v>
      </c>
      <c r="AP246" s="16" t="s">
        <v>29</v>
      </c>
      <c r="AQ246" t="str">
        <f t="shared" si="6"/>
        <v>NA</v>
      </c>
      <c r="AR246" t="str">
        <f t="shared" si="7"/>
        <v>NA</v>
      </c>
    </row>
    <row r="247" spans="1:44" ht="14.4" x14ac:dyDescent="0.3">
      <c r="A247" s="2">
        <v>30</v>
      </c>
      <c r="B247" s="2" t="s">
        <v>83</v>
      </c>
      <c r="C247" s="3">
        <v>7</v>
      </c>
      <c r="D247" s="3">
        <v>1</v>
      </c>
      <c r="E247" s="3" t="s">
        <v>60</v>
      </c>
      <c r="F247" s="3" t="s">
        <v>29</v>
      </c>
      <c r="G247" s="3" t="s">
        <v>29</v>
      </c>
      <c r="H247" s="3" t="s">
        <v>29</v>
      </c>
      <c r="I247" s="3" t="s">
        <v>29</v>
      </c>
      <c r="J247" s="3" t="s">
        <v>29</v>
      </c>
      <c r="K247" s="3" t="s">
        <v>29</v>
      </c>
      <c r="L247" s="3" t="s">
        <v>29</v>
      </c>
      <c r="M247" s="3" t="s">
        <v>29</v>
      </c>
      <c r="P247" s="9" t="s">
        <v>29</v>
      </c>
      <c r="Q247" s="9" t="s">
        <v>29</v>
      </c>
      <c r="R247" s="9" t="s">
        <v>29</v>
      </c>
      <c r="S247" s="9" t="s">
        <v>29</v>
      </c>
      <c r="T247" s="9" t="s">
        <v>29</v>
      </c>
      <c r="U247" s="9" t="s">
        <v>29</v>
      </c>
      <c r="V247" s="16" t="s">
        <v>29</v>
      </c>
      <c r="W247" s="16" t="s">
        <v>29</v>
      </c>
      <c r="X247" s="16" t="s">
        <v>29</v>
      </c>
      <c r="Y247" s="16" t="s">
        <v>29</v>
      </c>
      <c r="AB247" s="9" t="s">
        <v>29</v>
      </c>
      <c r="AC247" s="9" t="s">
        <v>29</v>
      </c>
      <c r="AG247" t="str">
        <f>AK247</f>
        <v>NA</v>
      </c>
      <c r="AK247" t="str">
        <f>L247</f>
        <v>NA</v>
      </c>
      <c r="AM247" s="16" t="s">
        <v>29</v>
      </c>
      <c r="AN247" s="16" t="s">
        <v>29</v>
      </c>
      <c r="AO247" s="16" t="s">
        <v>29</v>
      </c>
      <c r="AP247" s="16" t="s">
        <v>29</v>
      </c>
      <c r="AQ247" t="str">
        <f t="shared" si="6"/>
        <v>NA</v>
      </c>
      <c r="AR247" t="str">
        <f t="shared" si="7"/>
        <v>NA</v>
      </c>
    </row>
    <row r="248" spans="1:44" ht="14.4" x14ac:dyDescent="0.3">
      <c r="A248" s="2">
        <v>30</v>
      </c>
      <c r="B248" s="2" t="s">
        <v>83</v>
      </c>
      <c r="C248" s="3">
        <v>14</v>
      </c>
      <c r="D248" s="3">
        <v>2</v>
      </c>
      <c r="E248" s="3" t="s">
        <v>60</v>
      </c>
      <c r="F248" s="3" t="s">
        <v>29</v>
      </c>
      <c r="G248" s="3" t="s">
        <v>29</v>
      </c>
      <c r="H248" s="3" t="s">
        <v>29</v>
      </c>
      <c r="I248" s="3" t="s">
        <v>29</v>
      </c>
      <c r="J248" s="3" t="s">
        <v>29</v>
      </c>
      <c r="K248" s="3" t="s">
        <v>29</v>
      </c>
      <c r="L248" s="3">
        <v>8</v>
      </c>
      <c r="M248" s="3" t="s">
        <v>29</v>
      </c>
      <c r="P248" s="9" t="s">
        <v>29</v>
      </c>
      <c r="Q248" s="9" t="s">
        <v>29</v>
      </c>
      <c r="R248" s="9" t="s">
        <v>29</v>
      </c>
      <c r="S248" s="9" t="s">
        <v>29</v>
      </c>
      <c r="T248" s="9" t="s">
        <v>29</v>
      </c>
      <c r="U248" s="9" t="s">
        <v>29</v>
      </c>
      <c r="V248" s="16" t="s">
        <v>29</v>
      </c>
      <c r="W248" s="16" t="s">
        <v>29</v>
      </c>
      <c r="X248" s="16" t="s">
        <v>29</v>
      </c>
      <c r="Y248" s="16" t="s">
        <v>29</v>
      </c>
      <c r="AB248" s="9" t="s">
        <v>29</v>
      </c>
      <c r="AC248" s="9" t="s">
        <v>29</v>
      </c>
      <c r="AG248">
        <f>AK248</f>
        <v>8</v>
      </c>
      <c r="AK248">
        <f>L248</f>
        <v>8</v>
      </c>
      <c r="AM248" s="16" t="s">
        <v>29</v>
      </c>
      <c r="AN248" s="16" t="s">
        <v>29</v>
      </c>
      <c r="AO248" s="16" t="s">
        <v>29</v>
      </c>
      <c r="AP248" s="16" t="s">
        <v>29</v>
      </c>
      <c r="AQ248" t="str">
        <f t="shared" si="6"/>
        <v>NA</v>
      </c>
      <c r="AR248" t="str">
        <f t="shared" si="7"/>
        <v>NA</v>
      </c>
    </row>
    <row r="249" spans="1:44" ht="14.4" x14ac:dyDescent="0.3">
      <c r="A249" s="2">
        <v>30</v>
      </c>
      <c r="B249" s="2" t="s">
        <v>83</v>
      </c>
      <c r="C249" s="3">
        <v>21</v>
      </c>
      <c r="D249" s="3">
        <v>3</v>
      </c>
      <c r="E249" s="3" t="s">
        <v>60</v>
      </c>
      <c r="F249" s="3" t="s">
        <v>29</v>
      </c>
      <c r="G249" s="3" t="s">
        <v>29</v>
      </c>
      <c r="H249" s="3" t="s">
        <v>29</v>
      </c>
      <c r="I249" s="3" t="s">
        <v>29</v>
      </c>
      <c r="J249" s="3" t="s">
        <v>29</v>
      </c>
      <c r="K249" s="3" t="s">
        <v>29</v>
      </c>
      <c r="L249" s="3">
        <v>8</v>
      </c>
      <c r="M249" s="3" t="s">
        <v>29</v>
      </c>
      <c r="P249" s="9" t="s">
        <v>29</v>
      </c>
      <c r="Q249" s="9" t="s">
        <v>29</v>
      </c>
      <c r="R249" s="9" t="s">
        <v>29</v>
      </c>
      <c r="S249" s="9" t="s">
        <v>29</v>
      </c>
      <c r="T249" s="9" t="s">
        <v>29</v>
      </c>
      <c r="U249" s="9" t="s">
        <v>29</v>
      </c>
      <c r="V249" s="16" t="s">
        <v>29</v>
      </c>
      <c r="W249" s="16" t="s">
        <v>29</v>
      </c>
      <c r="X249" s="16" t="s">
        <v>29</v>
      </c>
      <c r="Y249" s="16" t="s">
        <v>29</v>
      </c>
      <c r="AB249" s="9" t="s">
        <v>29</v>
      </c>
      <c r="AC249" s="9" t="s">
        <v>29</v>
      </c>
      <c r="AG249">
        <f>AK249</f>
        <v>8</v>
      </c>
      <c r="AK249">
        <f>L249</f>
        <v>8</v>
      </c>
      <c r="AM249" s="16" t="s">
        <v>29</v>
      </c>
      <c r="AN249" s="16" t="s">
        <v>29</v>
      </c>
      <c r="AO249" s="16" t="s">
        <v>29</v>
      </c>
      <c r="AP249" s="16" t="s">
        <v>29</v>
      </c>
      <c r="AQ249" t="str">
        <f t="shared" si="6"/>
        <v>NA</v>
      </c>
      <c r="AR249" t="str">
        <f t="shared" si="7"/>
        <v>NA</v>
      </c>
    </row>
    <row r="250" spans="1:44" ht="14.4" x14ac:dyDescent="0.3">
      <c r="A250" s="2">
        <v>30</v>
      </c>
      <c r="B250" s="2" t="s">
        <v>83</v>
      </c>
      <c r="C250" s="3">
        <v>28</v>
      </c>
      <c r="D250" s="3">
        <v>4</v>
      </c>
      <c r="E250" s="3" t="s">
        <v>60</v>
      </c>
      <c r="F250" s="3" t="s">
        <v>29</v>
      </c>
      <c r="G250" s="3" t="s">
        <v>29</v>
      </c>
      <c r="H250" s="3" t="s">
        <v>29</v>
      </c>
      <c r="I250" s="3" t="s">
        <v>29</v>
      </c>
      <c r="J250" s="3" t="s">
        <v>29</v>
      </c>
      <c r="K250" s="3" t="s">
        <v>29</v>
      </c>
      <c r="L250" s="3">
        <v>6</v>
      </c>
      <c r="M250" s="3" t="s">
        <v>29</v>
      </c>
      <c r="P250" s="9" t="s">
        <v>29</v>
      </c>
      <c r="Q250" s="9" t="s">
        <v>29</v>
      </c>
      <c r="R250" s="9" t="s">
        <v>29</v>
      </c>
      <c r="S250" s="9" t="s">
        <v>29</v>
      </c>
      <c r="T250" s="9" t="s">
        <v>29</v>
      </c>
      <c r="U250" s="9" t="s">
        <v>29</v>
      </c>
      <c r="V250" s="16" t="s">
        <v>29</v>
      </c>
      <c r="W250" s="16" t="s">
        <v>29</v>
      </c>
      <c r="X250" s="16" t="s">
        <v>29</v>
      </c>
      <c r="Y250" s="16" t="s">
        <v>29</v>
      </c>
      <c r="AB250" s="9" t="s">
        <v>29</v>
      </c>
      <c r="AC250" s="9" t="s">
        <v>29</v>
      </c>
      <c r="AG250">
        <f>AK250</f>
        <v>6</v>
      </c>
      <c r="AK250">
        <f>L250</f>
        <v>6</v>
      </c>
      <c r="AM250" s="16" t="s">
        <v>29</v>
      </c>
      <c r="AN250" s="16" t="s">
        <v>29</v>
      </c>
      <c r="AO250" s="16" t="s">
        <v>29</v>
      </c>
      <c r="AP250" s="16" t="s">
        <v>29</v>
      </c>
      <c r="AQ250" t="str">
        <f t="shared" si="6"/>
        <v>NA</v>
      </c>
      <c r="AR250" t="str">
        <f t="shared" si="7"/>
        <v>NA</v>
      </c>
    </row>
    <row r="251" spans="1:44" ht="14.4" x14ac:dyDescent="0.3">
      <c r="A251" s="2">
        <v>30</v>
      </c>
      <c r="B251" s="2" t="s">
        <v>83</v>
      </c>
      <c r="C251" s="3">
        <v>35</v>
      </c>
      <c r="D251" s="3">
        <v>5</v>
      </c>
      <c r="E251" s="3" t="s">
        <v>60</v>
      </c>
      <c r="F251" s="3" t="s">
        <v>29</v>
      </c>
      <c r="G251" s="3" t="s">
        <v>29</v>
      </c>
      <c r="H251" s="3" t="s">
        <v>29</v>
      </c>
      <c r="I251" s="3" t="s">
        <v>29</v>
      </c>
      <c r="J251" s="3" t="s">
        <v>29</v>
      </c>
      <c r="K251" s="3" t="s">
        <v>29</v>
      </c>
      <c r="L251" s="3" t="s">
        <v>29</v>
      </c>
      <c r="M251" s="3" t="s">
        <v>29</v>
      </c>
      <c r="P251" s="9" t="s">
        <v>29</v>
      </c>
      <c r="Q251" s="9" t="s">
        <v>29</v>
      </c>
      <c r="R251" s="9" t="s">
        <v>29</v>
      </c>
      <c r="S251" s="9" t="s">
        <v>29</v>
      </c>
      <c r="T251" s="9" t="s">
        <v>29</v>
      </c>
      <c r="U251" s="9" t="s">
        <v>29</v>
      </c>
      <c r="V251" s="16" t="s">
        <v>29</v>
      </c>
      <c r="W251" s="16" t="s">
        <v>29</v>
      </c>
      <c r="X251" s="16" t="s">
        <v>29</v>
      </c>
      <c r="Y251" s="16" t="s">
        <v>29</v>
      </c>
      <c r="AB251" s="9" t="s">
        <v>29</v>
      </c>
      <c r="AC251" s="9" t="s">
        <v>29</v>
      </c>
      <c r="AG251" t="str">
        <f>AK251</f>
        <v>NA</v>
      </c>
      <c r="AK251" t="str">
        <f>L251</f>
        <v>NA</v>
      </c>
      <c r="AM251" s="16" t="s">
        <v>29</v>
      </c>
      <c r="AN251" s="16" t="s">
        <v>29</v>
      </c>
      <c r="AO251" s="16" t="s">
        <v>29</v>
      </c>
      <c r="AP251" s="16" t="s">
        <v>29</v>
      </c>
      <c r="AQ251" t="str">
        <f t="shared" si="6"/>
        <v>NA</v>
      </c>
      <c r="AR251" t="str">
        <f t="shared" si="7"/>
        <v>NA</v>
      </c>
    </row>
    <row r="252" spans="1:44" ht="14.4" x14ac:dyDescent="0.3">
      <c r="A252" s="2"/>
      <c r="B252" s="2"/>
    </row>
    <row r="253" spans="1:44" ht="14.4" x14ac:dyDescent="0.3">
      <c r="A253" s="2"/>
      <c r="B253" s="2"/>
    </row>
    <row r="254" spans="1:44" ht="14.4" x14ac:dyDescent="0.3">
      <c r="A254" s="2"/>
      <c r="B254" s="2"/>
    </row>
    <row r="255" spans="1:44" ht="14.4" x14ac:dyDescent="0.3">
      <c r="A255" s="2"/>
      <c r="B255" s="2"/>
    </row>
    <row r="256" spans="1:44" ht="14.4" x14ac:dyDescent="0.3">
      <c r="A256" s="2"/>
      <c r="B256" s="2"/>
    </row>
    <row r="257" spans="1:2" ht="14.4" x14ac:dyDescent="0.3">
      <c r="A257" s="2"/>
      <c r="B257" s="2"/>
    </row>
    <row r="258" spans="1:2" ht="14.4" x14ac:dyDescent="0.3">
      <c r="A258" s="2"/>
      <c r="B258" s="2"/>
    </row>
    <row r="259" spans="1:2" ht="14.4" x14ac:dyDescent="0.3">
      <c r="A259" s="2"/>
      <c r="B259" s="2"/>
    </row>
    <row r="260" spans="1:2" ht="14.4" x14ac:dyDescent="0.3">
      <c r="A260" s="2"/>
      <c r="B260" s="2"/>
    </row>
    <row r="261" spans="1:2" ht="14.4" x14ac:dyDescent="0.3">
      <c r="A261" s="2"/>
      <c r="B261" s="2"/>
    </row>
    <row r="262" spans="1:2" ht="14.4" x14ac:dyDescent="0.3">
      <c r="A262" s="2"/>
      <c r="B262" s="2"/>
    </row>
    <row r="263" spans="1:2" ht="14.4" x14ac:dyDescent="0.3">
      <c r="A263" s="2"/>
      <c r="B263" s="2"/>
    </row>
    <row r="264" spans="1:2" ht="14.4" x14ac:dyDescent="0.3">
      <c r="A264" s="2"/>
      <c r="B264" s="2"/>
    </row>
    <row r="265" spans="1:2" ht="14.4" x14ac:dyDescent="0.3">
      <c r="A265" s="2"/>
      <c r="B265" s="2"/>
    </row>
    <row r="266" spans="1:2" ht="14.4" x14ac:dyDescent="0.3">
      <c r="A266" s="2"/>
      <c r="B266" s="2"/>
    </row>
    <row r="267" spans="1:2" ht="14.4" x14ac:dyDescent="0.3">
      <c r="A267" s="2"/>
      <c r="B267" s="2"/>
    </row>
    <row r="268" spans="1:2" ht="14.4" x14ac:dyDescent="0.3">
      <c r="A268" s="2"/>
      <c r="B268" s="2"/>
    </row>
    <row r="269" spans="1:2" ht="14.4" x14ac:dyDescent="0.3">
      <c r="A269" s="2"/>
      <c r="B269" s="2"/>
    </row>
    <row r="270" spans="1:2" ht="14.4" x14ac:dyDescent="0.3">
      <c r="A270" s="2"/>
      <c r="B270" s="2"/>
    </row>
    <row r="271" spans="1:2" ht="14.4" x14ac:dyDescent="0.3">
      <c r="A271" s="2"/>
      <c r="B271" s="2"/>
    </row>
    <row r="272" spans="1:2" ht="14.4" x14ac:dyDescent="0.3">
      <c r="A272" s="2"/>
      <c r="B272" s="2"/>
    </row>
    <row r="273" spans="1:2" ht="14.4" x14ac:dyDescent="0.3">
      <c r="A273" s="2"/>
      <c r="B273" s="2"/>
    </row>
    <row r="274" spans="1:2" ht="14.4" x14ac:dyDescent="0.3">
      <c r="A274" s="2"/>
      <c r="B274" s="2"/>
    </row>
    <row r="275" spans="1:2" ht="14.4" x14ac:dyDescent="0.3">
      <c r="A275" s="2"/>
      <c r="B275" s="2"/>
    </row>
    <row r="276" spans="1:2" ht="14.4" x14ac:dyDescent="0.3">
      <c r="A276" s="2"/>
      <c r="B276" s="2"/>
    </row>
    <row r="277" spans="1:2" ht="14.4" x14ac:dyDescent="0.3">
      <c r="A277" s="2"/>
      <c r="B277" s="2"/>
    </row>
    <row r="278" spans="1:2" ht="14.4" x14ac:dyDescent="0.3">
      <c r="A278" s="2"/>
      <c r="B278" s="2"/>
    </row>
    <row r="279" spans="1:2" ht="14.4" x14ac:dyDescent="0.3">
      <c r="A279" s="2"/>
      <c r="B279" s="2"/>
    </row>
    <row r="280" spans="1:2" ht="14.4" x14ac:dyDescent="0.3">
      <c r="A280" s="2"/>
      <c r="B280" s="2"/>
    </row>
    <row r="281" spans="1:2" ht="14.4" x14ac:dyDescent="0.3">
      <c r="A281" s="2"/>
      <c r="B281" s="2"/>
    </row>
    <row r="282" spans="1:2" ht="14.4" x14ac:dyDescent="0.3">
      <c r="A282" s="2"/>
      <c r="B282" s="2"/>
    </row>
    <row r="283" spans="1:2" ht="14.4" x14ac:dyDescent="0.3">
      <c r="A283" s="2"/>
      <c r="B283" s="2"/>
    </row>
    <row r="284" spans="1:2" ht="14.4" x14ac:dyDescent="0.3">
      <c r="A284" s="2"/>
      <c r="B284" s="2"/>
    </row>
    <row r="285" spans="1:2" ht="14.4" x14ac:dyDescent="0.3">
      <c r="A285" s="2"/>
      <c r="B285" s="2"/>
    </row>
    <row r="286" spans="1:2" ht="14.4" x14ac:dyDescent="0.3">
      <c r="A286" s="2"/>
      <c r="B286" s="2"/>
    </row>
    <row r="287" spans="1:2" ht="14.4" x14ac:dyDescent="0.3">
      <c r="A287" s="2"/>
      <c r="B287" s="2"/>
    </row>
    <row r="288" spans="1:2" ht="14.4" x14ac:dyDescent="0.3">
      <c r="A288" s="2"/>
      <c r="B288" s="2"/>
    </row>
    <row r="289" spans="1:2" ht="14.4" x14ac:dyDescent="0.3">
      <c r="A289" s="2"/>
      <c r="B289" s="2"/>
    </row>
    <row r="290" spans="1:2" ht="14.4" x14ac:dyDescent="0.3">
      <c r="A290" s="2"/>
      <c r="B290" s="2"/>
    </row>
    <row r="291" spans="1:2" ht="14.4" x14ac:dyDescent="0.3">
      <c r="A291" s="2"/>
      <c r="B291" s="2"/>
    </row>
    <row r="292" spans="1:2" ht="14.4" x14ac:dyDescent="0.3">
      <c r="A292" s="2"/>
      <c r="B292" s="2"/>
    </row>
    <row r="293" spans="1:2" ht="14.4" x14ac:dyDescent="0.3">
      <c r="A293" s="2"/>
      <c r="B293" s="2"/>
    </row>
    <row r="294" spans="1:2" ht="14.4" x14ac:dyDescent="0.3">
      <c r="A294" s="2"/>
      <c r="B294" s="2"/>
    </row>
    <row r="295" spans="1:2" ht="14.4" x14ac:dyDescent="0.3">
      <c r="A295" s="2"/>
      <c r="B295" s="2"/>
    </row>
    <row r="296" spans="1:2" ht="14.4" x14ac:dyDescent="0.3">
      <c r="A296" s="2"/>
      <c r="B296" s="2"/>
    </row>
    <row r="297" spans="1:2" ht="14.4" x14ac:dyDescent="0.3">
      <c r="A297" s="2"/>
      <c r="B297" s="2"/>
    </row>
    <row r="298" spans="1:2" ht="14.4" x14ac:dyDescent="0.3">
      <c r="A298" s="2"/>
      <c r="B298" s="2"/>
    </row>
    <row r="299" spans="1:2" ht="14.4" x14ac:dyDescent="0.3">
      <c r="A299" s="2"/>
      <c r="B299" s="2"/>
    </row>
    <row r="300" spans="1:2" ht="14.4" x14ac:dyDescent="0.3">
      <c r="A300" s="2"/>
      <c r="B300" s="2"/>
    </row>
    <row r="301" spans="1:2" ht="14.4" x14ac:dyDescent="0.3">
      <c r="A301" s="2"/>
      <c r="B301" s="2"/>
    </row>
    <row r="302" spans="1:2" ht="14.4" x14ac:dyDescent="0.3">
      <c r="A302" s="2"/>
      <c r="B302" s="2"/>
    </row>
    <row r="303" spans="1:2" ht="14.4" x14ac:dyDescent="0.3">
      <c r="A303" s="2"/>
      <c r="B303" s="2"/>
    </row>
    <row r="304" spans="1:2" ht="14.4" x14ac:dyDescent="0.3">
      <c r="A304" s="2"/>
      <c r="B304" s="2"/>
    </row>
    <row r="305" spans="1:2" ht="14.4" x14ac:dyDescent="0.3">
      <c r="A305" s="2"/>
      <c r="B305" s="2"/>
    </row>
    <row r="306" spans="1:2" ht="14.4" x14ac:dyDescent="0.3">
      <c r="A306" s="2"/>
      <c r="B306" s="2"/>
    </row>
    <row r="307" spans="1:2" ht="14.4" x14ac:dyDescent="0.3">
      <c r="A307" s="2"/>
      <c r="B307" s="2"/>
    </row>
    <row r="308" spans="1:2" ht="14.4" x14ac:dyDescent="0.3">
      <c r="A308" s="2"/>
      <c r="B308" s="2"/>
    </row>
    <row r="309" spans="1:2" ht="14.4" x14ac:dyDescent="0.3">
      <c r="A309" s="2"/>
      <c r="B309" s="2"/>
    </row>
    <row r="310" spans="1:2" ht="14.4" x14ac:dyDescent="0.3">
      <c r="A310" s="2"/>
      <c r="B310" s="2"/>
    </row>
    <row r="311" spans="1:2" ht="14.4" x14ac:dyDescent="0.3">
      <c r="A311" s="2"/>
      <c r="B311" s="2"/>
    </row>
    <row r="312" spans="1:2" ht="14.4" x14ac:dyDescent="0.3">
      <c r="A312" s="2"/>
      <c r="B312" s="2"/>
    </row>
    <row r="313" spans="1:2" ht="14.4" x14ac:dyDescent="0.3">
      <c r="A313" s="2"/>
      <c r="B313" s="2"/>
    </row>
    <row r="314" spans="1:2" ht="14.4" x14ac:dyDescent="0.3">
      <c r="A314" s="2"/>
      <c r="B314" s="2"/>
    </row>
    <row r="315" spans="1:2" ht="14.4" x14ac:dyDescent="0.3">
      <c r="A315" s="2"/>
      <c r="B315" s="2"/>
    </row>
    <row r="316" spans="1:2" ht="14.4" x14ac:dyDescent="0.3">
      <c r="A316" s="2"/>
      <c r="B316" s="2"/>
    </row>
    <row r="317" spans="1:2" ht="14.4" x14ac:dyDescent="0.3">
      <c r="A317" s="2"/>
      <c r="B317" s="2"/>
    </row>
    <row r="318" spans="1:2" ht="14.4" x14ac:dyDescent="0.3">
      <c r="A318" s="2"/>
      <c r="B318" s="2"/>
    </row>
    <row r="319" spans="1:2" ht="14.4" x14ac:dyDescent="0.3">
      <c r="A319" s="2"/>
      <c r="B319" s="2"/>
    </row>
    <row r="320" spans="1:2" ht="14.4" x14ac:dyDescent="0.3">
      <c r="A320" s="2"/>
      <c r="B320" s="2"/>
    </row>
    <row r="321" spans="1:2" ht="14.4" x14ac:dyDescent="0.3">
      <c r="A321" s="2"/>
      <c r="B321" s="2"/>
    </row>
    <row r="322" spans="1:2" ht="14.4" x14ac:dyDescent="0.3">
      <c r="A322" s="2"/>
      <c r="B322" s="2"/>
    </row>
    <row r="323" spans="1:2" ht="14.4" x14ac:dyDescent="0.3">
      <c r="A323" s="2"/>
      <c r="B323" s="2"/>
    </row>
    <row r="324" spans="1:2" ht="14.4" x14ac:dyDescent="0.3">
      <c r="A324" s="2"/>
      <c r="B324" s="2"/>
    </row>
    <row r="325" spans="1:2" ht="14.4" x14ac:dyDescent="0.3">
      <c r="A325" s="2"/>
      <c r="B325" s="2"/>
    </row>
    <row r="326" spans="1:2" ht="14.4" x14ac:dyDescent="0.3">
      <c r="A326" s="2"/>
      <c r="B326" s="2"/>
    </row>
    <row r="327" spans="1:2" ht="14.4" x14ac:dyDescent="0.3">
      <c r="A327" s="2"/>
      <c r="B327" s="2"/>
    </row>
    <row r="328" spans="1:2" ht="14.4" x14ac:dyDescent="0.3">
      <c r="A328" s="2"/>
      <c r="B328" s="2"/>
    </row>
    <row r="329" spans="1:2" ht="14.4" x14ac:dyDescent="0.3">
      <c r="A329" s="2"/>
      <c r="B329" s="2"/>
    </row>
    <row r="330" spans="1:2" ht="14.4" x14ac:dyDescent="0.3">
      <c r="A330" s="2"/>
      <c r="B330" s="2"/>
    </row>
    <row r="331" spans="1:2" ht="14.4" x14ac:dyDescent="0.3">
      <c r="A331" s="2"/>
      <c r="B331" s="2"/>
    </row>
    <row r="332" spans="1:2" ht="14.4" x14ac:dyDescent="0.3">
      <c r="A332" s="2"/>
      <c r="B332" s="2"/>
    </row>
    <row r="333" spans="1:2" ht="14.4" x14ac:dyDescent="0.3">
      <c r="A333" s="2"/>
      <c r="B333" s="2"/>
    </row>
    <row r="334" spans="1:2" ht="14.4" x14ac:dyDescent="0.3">
      <c r="A334" s="2"/>
      <c r="B334" s="2"/>
    </row>
    <row r="335" spans="1:2" ht="14.4" x14ac:dyDescent="0.3">
      <c r="A335" s="2"/>
      <c r="B335" s="2"/>
    </row>
    <row r="336" spans="1:2" ht="14.4" x14ac:dyDescent="0.3">
      <c r="A336" s="2"/>
      <c r="B336" s="2"/>
    </row>
    <row r="337" spans="1:2" ht="14.4" x14ac:dyDescent="0.3">
      <c r="A337" s="2"/>
      <c r="B337" s="2"/>
    </row>
    <row r="338" spans="1:2" ht="14.4" x14ac:dyDescent="0.3">
      <c r="A338" s="2"/>
      <c r="B338" s="2"/>
    </row>
    <row r="339" spans="1:2" ht="14.4" x14ac:dyDescent="0.3">
      <c r="A339" s="2"/>
      <c r="B339" s="2"/>
    </row>
    <row r="340" spans="1:2" ht="14.4" x14ac:dyDescent="0.3">
      <c r="A340" s="2"/>
      <c r="B340" s="2"/>
    </row>
    <row r="341" spans="1:2" ht="14.4" x14ac:dyDescent="0.3">
      <c r="A341" s="2"/>
      <c r="B341" s="2"/>
    </row>
    <row r="342" spans="1:2" ht="14.4" x14ac:dyDescent="0.3">
      <c r="A342" s="2"/>
      <c r="B342" s="2"/>
    </row>
    <row r="343" spans="1:2" ht="14.4" x14ac:dyDescent="0.3">
      <c r="A343" s="2"/>
      <c r="B343" s="2"/>
    </row>
    <row r="344" spans="1:2" ht="14.4" x14ac:dyDescent="0.3">
      <c r="A344" s="2"/>
      <c r="B344" s="2"/>
    </row>
    <row r="345" spans="1:2" ht="14.4" x14ac:dyDescent="0.3">
      <c r="A345" s="2"/>
      <c r="B345" s="2"/>
    </row>
    <row r="346" spans="1:2" ht="14.4" x14ac:dyDescent="0.3">
      <c r="A346" s="2"/>
      <c r="B346" s="2"/>
    </row>
    <row r="347" spans="1:2" ht="14.4" x14ac:dyDescent="0.3">
      <c r="A347" s="2"/>
      <c r="B347" s="2"/>
    </row>
    <row r="348" spans="1:2" ht="14.4" x14ac:dyDescent="0.3">
      <c r="A348" s="2"/>
      <c r="B348" s="2"/>
    </row>
    <row r="349" spans="1:2" ht="14.4" x14ac:dyDescent="0.3">
      <c r="A349" s="2"/>
      <c r="B349" s="2"/>
    </row>
    <row r="350" spans="1:2" ht="14.4" x14ac:dyDescent="0.3">
      <c r="A350" s="2"/>
      <c r="B350" s="2"/>
    </row>
    <row r="351" spans="1:2" ht="14.4" x14ac:dyDescent="0.3">
      <c r="A351" s="2"/>
      <c r="B351" s="2"/>
    </row>
    <row r="352" spans="1:2" ht="14.4" x14ac:dyDescent="0.3">
      <c r="A352" s="2"/>
      <c r="B352" s="2"/>
    </row>
    <row r="353" spans="1:2" ht="14.4" x14ac:dyDescent="0.3">
      <c r="A353" s="2"/>
      <c r="B353" s="2"/>
    </row>
    <row r="354" spans="1:2" ht="14.4" x14ac:dyDescent="0.3">
      <c r="A354" s="2"/>
      <c r="B354" s="2"/>
    </row>
    <row r="355" spans="1:2" ht="14.4" x14ac:dyDescent="0.3">
      <c r="A355" s="2"/>
      <c r="B355" s="2"/>
    </row>
    <row r="356" spans="1:2" ht="14.4" x14ac:dyDescent="0.3">
      <c r="A356" s="2"/>
      <c r="B356" s="2"/>
    </row>
    <row r="357" spans="1:2" ht="14.4" x14ac:dyDescent="0.3">
      <c r="A357" s="2"/>
      <c r="B357" s="2"/>
    </row>
    <row r="358" spans="1:2" ht="14.4" x14ac:dyDescent="0.3">
      <c r="A358" s="2"/>
      <c r="B358" s="2"/>
    </row>
    <row r="359" spans="1:2" ht="14.4" x14ac:dyDescent="0.3">
      <c r="A359" s="2"/>
      <c r="B359" s="2"/>
    </row>
    <row r="360" spans="1:2" ht="14.4" x14ac:dyDescent="0.3">
      <c r="A360" s="2"/>
      <c r="B360" s="2"/>
    </row>
    <row r="361" spans="1:2" ht="14.4" x14ac:dyDescent="0.3">
      <c r="A361" s="2"/>
      <c r="B361" s="2"/>
    </row>
    <row r="362" spans="1:2" ht="14.4" x14ac:dyDescent="0.3">
      <c r="A362" s="2"/>
      <c r="B362" s="2"/>
    </row>
    <row r="363" spans="1:2" ht="14.4" x14ac:dyDescent="0.3">
      <c r="A363" s="2"/>
      <c r="B363" s="2"/>
    </row>
    <row r="364" spans="1:2" ht="14.4" x14ac:dyDescent="0.3">
      <c r="A364" s="2"/>
      <c r="B364" s="2"/>
    </row>
    <row r="365" spans="1:2" ht="14.4" x14ac:dyDescent="0.3">
      <c r="A365" s="2"/>
      <c r="B365" s="2"/>
    </row>
    <row r="366" spans="1:2" ht="14.4" x14ac:dyDescent="0.3">
      <c r="A366" s="2"/>
      <c r="B366" s="2"/>
    </row>
    <row r="367" spans="1:2" ht="14.4" x14ac:dyDescent="0.3">
      <c r="A367" s="2"/>
      <c r="B367" s="2"/>
    </row>
    <row r="368" spans="1:2" ht="14.4" x14ac:dyDescent="0.3">
      <c r="A368" s="2"/>
      <c r="B368" s="2"/>
    </row>
    <row r="369" spans="1:2" ht="14.4" x14ac:dyDescent="0.3">
      <c r="A369" s="2"/>
      <c r="B369" s="2"/>
    </row>
    <row r="370" spans="1:2" ht="14.4" x14ac:dyDescent="0.3">
      <c r="A370" s="2"/>
      <c r="B370" s="2"/>
    </row>
    <row r="371" spans="1:2" ht="14.4" x14ac:dyDescent="0.3">
      <c r="A371" s="2"/>
      <c r="B371" s="2"/>
    </row>
    <row r="372" spans="1:2" ht="14.4" x14ac:dyDescent="0.3">
      <c r="A372" s="2"/>
      <c r="B372" s="2"/>
    </row>
    <row r="373" spans="1:2" ht="14.4" x14ac:dyDescent="0.3">
      <c r="A373" s="2"/>
      <c r="B373" s="2"/>
    </row>
    <row r="374" spans="1:2" ht="14.4" x14ac:dyDescent="0.3">
      <c r="A374" s="2"/>
      <c r="B374" s="2"/>
    </row>
    <row r="375" spans="1:2" ht="14.4" x14ac:dyDescent="0.3">
      <c r="A375" s="2"/>
      <c r="B375" s="2"/>
    </row>
    <row r="376" spans="1:2" ht="14.4" x14ac:dyDescent="0.3">
      <c r="A376" s="2"/>
      <c r="B376" s="2"/>
    </row>
    <row r="377" spans="1:2" ht="14.4" x14ac:dyDescent="0.3">
      <c r="A377" s="2"/>
      <c r="B377" s="2"/>
    </row>
    <row r="378" spans="1:2" ht="14.4" x14ac:dyDescent="0.3">
      <c r="A378" s="2"/>
      <c r="B378" s="2"/>
    </row>
    <row r="379" spans="1:2" ht="14.4" x14ac:dyDescent="0.3">
      <c r="A379" s="2"/>
      <c r="B379" s="2"/>
    </row>
    <row r="380" spans="1:2" ht="14.4" x14ac:dyDescent="0.3">
      <c r="A380" s="2"/>
      <c r="B380" s="2"/>
    </row>
    <row r="381" spans="1:2" ht="14.4" x14ac:dyDescent="0.3">
      <c r="A381" s="2"/>
      <c r="B381" s="2"/>
    </row>
    <row r="382" spans="1:2" ht="14.4" x14ac:dyDescent="0.3">
      <c r="A382" s="2"/>
      <c r="B382" s="2"/>
    </row>
    <row r="383" spans="1:2" ht="14.4" x14ac:dyDescent="0.3">
      <c r="A383" s="2"/>
      <c r="B383" s="2"/>
    </row>
    <row r="384" spans="1:2" ht="14.4" x14ac:dyDescent="0.3">
      <c r="A384" s="2"/>
      <c r="B384" s="2"/>
    </row>
    <row r="385" spans="1:2" ht="14.4" x14ac:dyDescent="0.3">
      <c r="A385" s="2"/>
      <c r="B385" s="2"/>
    </row>
    <row r="386" spans="1:2" ht="14.4" x14ac:dyDescent="0.3">
      <c r="A386" s="2"/>
      <c r="B386" s="2"/>
    </row>
    <row r="387" spans="1:2" ht="14.4" x14ac:dyDescent="0.3">
      <c r="A387" s="2"/>
      <c r="B387" s="2"/>
    </row>
    <row r="388" spans="1:2" ht="14.4" x14ac:dyDescent="0.3">
      <c r="A388" s="2"/>
      <c r="B388" s="2"/>
    </row>
    <row r="389" spans="1:2" ht="14.4" x14ac:dyDescent="0.3">
      <c r="A389" s="2"/>
      <c r="B389" s="2"/>
    </row>
    <row r="390" spans="1:2" ht="14.4" x14ac:dyDescent="0.3">
      <c r="A390" s="2"/>
      <c r="B390" s="2"/>
    </row>
    <row r="391" spans="1:2" ht="14.4" x14ac:dyDescent="0.3">
      <c r="A391" s="2"/>
      <c r="B391" s="2"/>
    </row>
    <row r="392" spans="1:2" ht="14.4" x14ac:dyDescent="0.3">
      <c r="A392" s="2"/>
      <c r="B392" s="2"/>
    </row>
    <row r="393" spans="1:2" ht="14.4" x14ac:dyDescent="0.3">
      <c r="A393" s="2"/>
      <c r="B393" s="2"/>
    </row>
    <row r="394" spans="1:2" ht="14.4" x14ac:dyDescent="0.3">
      <c r="A394" s="2"/>
      <c r="B394" s="2"/>
    </row>
    <row r="395" spans="1:2" ht="14.4" x14ac:dyDescent="0.3">
      <c r="A395" s="2"/>
      <c r="B395" s="2"/>
    </row>
    <row r="396" spans="1:2" ht="14.4" x14ac:dyDescent="0.3">
      <c r="A396" s="2"/>
      <c r="B396" s="2"/>
    </row>
    <row r="397" spans="1:2" ht="14.4" x14ac:dyDescent="0.3">
      <c r="A397" s="2"/>
      <c r="B397" s="2"/>
    </row>
    <row r="398" spans="1:2" ht="14.4" x14ac:dyDescent="0.3">
      <c r="A398" s="2"/>
      <c r="B398" s="2"/>
    </row>
    <row r="399" spans="1:2" ht="14.4" x14ac:dyDescent="0.3">
      <c r="A399" s="2"/>
      <c r="B399" s="2"/>
    </row>
    <row r="400" spans="1:2" ht="14.4" x14ac:dyDescent="0.3">
      <c r="A400" s="2"/>
      <c r="B400" s="2"/>
    </row>
    <row r="401" spans="1:2" ht="14.4" x14ac:dyDescent="0.3">
      <c r="A401" s="2"/>
      <c r="B401" s="2"/>
    </row>
    <row r="402" spans="1:2" ht="14.4" x14ac:dyDescent="0.3">
      <c r="A402" s="2"/>
      <c r="B402" s="2"/>
    </row>
    <row r="403" spans="1:2" ht="14.4" x14ac:dyDescent="0.3">
      <c r="A403" s="2"/>
      <c r="B403" s="2"/>
    </row>
    <row r="404" spans="1:2" ht="14.4" x14ac:dyDescent="0.3">
      <c r="A404" s="2"/>
      <c r="B404" s="2"/>
    </row>
    <row r="405" spans="1:2" ht="14.4" x14ac:dyDescent="0.3">
      <c r="A405" s="2"/>
      <c r="B405" s="2"/>
    </row>
    <row r="406" spans="1:2" ht="14.4" x14ac:dyDescent="0.3">
      <c r="A406" s="2"/>
      <c r="B406" s="2"/>
    </row>
    <row r="407" spans="1:2" ht="14.4" x14ac:dyDescent="0.3">
      <c r="A407" s="2"/>
      <c r="B407" s="2"/>
    </row>
    <row r="408" spans="1:2" ht="14.4" x14ac:dyDescent="0.3">
      <c r="A408" s="2"/>
      <c r="B408" s="2"/>
    </row>
    <row r="409" spans="1:2" ht="14.4" x14ac:dyDescent="0.3">
      <c r="A409" s="2"/>
      <c r="B409" s="2"/>
    </row>
    <row r="410" spans="1:2" ht="14.4" x14ac:dyDescent="0.3">
      <c r="A410" s="2"/>
      <c r="B410" s="2"/>
    </row>
    <row r="411" spans="1:2" ht="14.4" x14ac:dyDescent="0.3">
      <c r="A411" s="2"/>
      <c r="B411" s="2"/>
    </row>
    <row r="412" spans="1:2" ht="14.4" x14ac:dyDescent="0.3">
      <c r="A412" s="2"/>
      <c r="B412" s="2"/>
    </row>
    <row r="413" spans="1:2" ht="14.4" x14ac:dyDescent="0.3">
      <c r="A413" s="2"/>
      <c r="B413" s="2"/>
    </row>
    <row r="414" spans="1:2" ht="14.4" x14ac:dyDescent="0.3">
      <c r="A414" s="2"/>
      <c r="B414" s="2"/>
    </row>
    <row r="415" spans="1:2" ht="14.4" x14ac:dyDescent="0.3">
      <c r="A415" s="2"/>
      <c r="B415" s="2"/>
    </row>
    <row r="416" spans="1:2" ht="14.4" x14ac:dyDescent="0.3">
      <c r="A416" s="2"/>
      <c r="B416" s="2"/>
    </row>
    <row r="417" spans="1:2" ht="14.4" x14ac:dyDescent="0.3">
      <c r="A417" s="2"/>
      <c r="B417" s="2"/>
    </row>
    <row r="418" spans="1:2" ht="14.4" x14ac:dyDescent="0.3">
      <c r="A418" s="2"/>
      <c r="B418" s="2"/>
    </row>
    <row r="419" spans="1:2" ht="14.4" x14ac:dyDescent="0.3">
      <c r="A419" s="2"/>
      <c r="B419" s="2"/>
    </row>
    <row r="420" spans="1:2" ht="14.4" x14ac:dyDescent="0.3">
      <c r="A420" s="2"/>
      <c r="B420" s="2"/>
    </row>
    <row r="421" spans="1:2" ht="14.4" x14ac:dyDescent="0.3">
      <c r="A421" s="2"/>
      <c r="B421" s="2"/>
    </row>
    <row r="422" spans="1:2" ht="14.4" x14ac:dyDescent="0.3">
      <c r="A422" s="2"/>
      <c r="B422" s="2"/>
    </row>
    <row r="423" spans="1:2" ht="14.4" x14ac:dyDescent="0.3">
      <c r="A423" s="2"/>
      <c r="B423" s="2"/>
    </row>
    <row r="424" spans="1:2" ht="14.4" x14ac:dyDescent="0.3">
      <c r="A424" s="2"/>
      <c r="B424" s="2"/>
    </row>
    <row r="425" spans="1:2" ht="14.4" x14ac:dyDescent="0.3">
      <c r="A425" s="2"/>
      <c r="B425" s="2"/>
    </row>
    <row r="426" spans="1:2" ht="14.4" x14ac:dyDescent="0.3">
      <c r="A426" s="2"/>
      <c r="B426" s="2"/>
    </row>
    <row r="427" spans="1:2" ht="14.4" x14ac:dyDescent="0.3">
      <c r="A427" s="2"/>
      <c r="B427" s="2"/>
    </row>
    <row r="428" spans="1:2" ht="14.4" x14ac:dyDescent="0.3">
      <c r="A428" s="2"/>
      <c r="B428" s="2"/>
    </row>
    <row r="429" spans="1:2" ht="14.4" x14ac:dyDescent="0.3">
      <c r="A429" s="2"/>
      <c r="B429" s="2"/>
    </row>
    <row r="430" spans="1:2" ht="14.4" x14ac:dyDescent="0.3">
      <c r="A430" s="2"/>
      <c r="B430" s="2"/>
    </row>
    <row r="431" spans="1:2" ht="14.4" x14ac:dyDescent="0.3">
      <c r="A431" s="2"/>
      <c r="B431" s="2"/>
    </row>
    <row r="432" spans="1:2" ht="14.4" x14ac:dyDescent="0.3">
      <c r="A432" s="2"/>
      <c r="B432" s="2"/>
    </row>
    <row r="433" spans="1:2" ht="14.4" x14ac:dyDescent="0.3">
      <c r="A433" s="2"/>
      <c r="B433" s="2"/>
    </row>
    <row r="434" spans="1:2" ht="14.4" x14ac:dyDescent="0.3">
      <c r="A434" s="2"/>
      <c r="B434" s="2"/>
    </row>
    <row r="435" spans="1:2" ht="14.4" x14ac:dyDescent="0.3">
      <c r="A435" s="2"/>
      <c r="B435" s="2"/>
    </row>
    <row r="436" spans="1:2" ht="14.4" x14ac:dyDescent="0.3">
      <c r="A436" s="2"/>
      <c r="B436" s="2"/>
    </row>
    <row r="437" spans="1:2" ht="14.4" x14ac:dyDescent="0.3">
      <c r="A437" s="2"/>
      <c r="B437" s="2"/>
    </row>
    <row r="438" spans="1:2" ht="14.4" x14ac:dyDescent="0.3">
      <c r="A438" s="2"/>
      <c r="B438" s="2"/>
    </row>
    <row r="439" spans="1:2" ht="14.4" x14ac:dyDescent="0.3">
      <c r="A439" s="2"/>
      <c r="B439" s="2"/>
    </row>
    <row r="440" spans="1:2" ht="14.4" x14ac:dyDescent="0.3">
      <c r="A440" s="2"/>
      <c r="B440" s="2"/>
    </row>
    <row r="441" spans="1:2" ht="14.4" x14ac:dyDescent="0.3">
      <c r="A441" s="2"/>
      <c r="B441" s="2"/>
    </row>
    <row r="442" spans="1:2" ht="14.4" x14ac:dyDescent="0.3">
      <c r="A442" s="2"/>
      <c r="B442" s="2"/>
    </row>
    <row r="443" spans="1:2" ht="14.4" x14ac:dyDescent="0.3">
      <c r="A443" s="2"/>
      <c r="B443" s="2"/>
    </row>
    <row r="444" spans="1:2" ht="14.4" x14ac:dyDescent="0.3">
      <c r="A444" s="2"/>
      <c r="B444" s="2"/>
    </row>
    <row r="445" spans="1:2" ht="14.4" x14ac:dyDescent="0.3">
      <c r="A445" s="2"/>
      <c r="B445" s="2"/>
    </row>
    <row r="446" spans="1:2" ht="14.4" x14ac:dyDescent="0.3">
      <c r="A446" s="2"/>
      <c r="B446" s="2"/>
    </row>
    <row r="447" spans="1:2" ht="14.4" x14ac:dyDescent="0.3">
      <c r="A447" s="2"/>
      <c r="B447" s="2"/>
    </row>
    <row r="448" spans="1:2" ht="14.4" x14ac:dyDescent="0.3">
      <c r="A448" s="2"/>
      <c r="B448" s="2"/>
    </row>
    <row r="449" spans="1:2" ht="14.4" x14ac:dyDescent="0.3">
      <c r="A449" s="2"/>
      <c r="B449" s="2"/>
    </row>
    <row r="450" spans="1:2" ht="14.4" x14ac:dyDescent="0.3">
      <c r="A450" s="2"/>
      <c r="B450" s="2"/>
    </row>
    <row r="451" spans="1:2" ht="14.4" x14ac:dyDescent="0.3">
      <c r="A451" s="2"/>
      <c r="B451" s="2"/>
    </row>
    <row r="452" spans="1:2" ht="14.4" x14ac:dyDescent="0.3">
      <c r="A452" s="2"/>
      <c r="B452" s="2"/>
    </row>
    <row r="453" spans="1:2" ht="14.4" x14ac:dyDescent="0.3">
      <c r="A453" s="2"/>
      <c r="B453" s="2"/>
    </row>
    <row r="454" spans="1:2" ht="14.4" x14ac:dyDescent="0.3">
      <c r="A454" s="2"/>
      <c r="B454" s="2"/>
    </row>
    <row r="455" spans="1:2" ht="14.4" x14ac:dyDescent="0.3">
      <c r="A455" s="2"/>
      <c r="B455" s="2"/>
    </row>
    <row r="456" spans="1:2" ht="14.4" x14ac:dyDescent="0.3">
      <c r="A456" s="2"/>
      <c r="B456" s="2"/>
    </row>
    <row r="457" spans="1:2" ht="14.4" x14ac:dyDescent="0.3">
      <c r="A457" s="2"/>
      <c r="B457" s="2"/>
    </row>
    <row r="458" spans="1:2" ht="14.4" x14ac:dyDescent="0.3">
      <c r="A458" s="2"/>
      <c r="B458" s="2"/>
    </row>
    <row r="459" spans="1:2" ht="14.4" x14ac:dyDescent="0.3">
      <c r="A459" s="2"/>
      <c r="B459" s="2"/>
    </row>
    <row r="460" spans="1:2" ht="14.4" x14ac:dyDescent="0.3">
      <c r="A460" s="2"/>
      <c r="B460" s="2"/>
    </row>
    <row r="461" spans="1:2" ht="14.4" x14ac:dyDescent="0.3">
      <c r="A461" s="2"/>
      <c r="B461" s="2"/>
    </row>
    <row r="462" spans="1:2" ht="14.4" x14ac:dyDescent="0.3">
      <c r="A462" s="2"/>
      <c r="B462" s="2"/>
    </row>
    <row r="463" spans="1:2" ht="14.4" x14ac:dyDescent="0.3">
      <c r="A463" s="2"/>
      <c r="B463" s="2"/>
    </row>
    <row r="464" spans="1:2" ht="14.4" x14ac:dyDescent="0.3">
      <c r="A464" s="2"/>
      <c r="B464" s="2"/>
    </row>
    <row r="465" spans="1:2" ht="14.4" x14ac:dyDescent="0.3">
      <c r="A465" s="2"/>
      <c r="B465" s="2"/>
    </row>
    <row r="466" spans="1:2" ht="14.4" x14ac:dyDescent="0.3">
      <c r="A466" s="2"/>
      <c r="B466" s="2"/>
    </row>
    <row r="467" spans="1:2" ht="14.4" x14ac:dyDescent="0.3">
      <c r="A467" s="2"/>
      <c r="B467" s="2"/>
    </row>
    <row r="468" spans="1:2" ht="14.4" x14ac:dyDescent="0.3">
      <c r="A468" s="2"/>
      <c r="B468" s="2"/>
    </row>
    <row r="469" spans="1:2" ht="14.4" x14ac:dyDescent="0.3">
      <c r="A469" s="2"/>
      <c r="B469" s="2"/>
    </row>
    <row r="470" spans="1:2" ht="14.4" x14ac:dyDescent="0.3">
      <c r="A470" s="2"/>
      <c r="B470" s="2"/>
    </row>
    <row r="471" spans="1:2" ht="14.4" x14ac:dyDescent="0.3">
      <c r="A471" s="2"/>
      <c r="B471" s="2"/>
    </row>
    <row r="472" spans="1:2" ht="14.4" x14ac:dyDescent="0.3">
      <c r="A472" s="2"/>
      <c r="B472" s="2"/>
    </row>
    <row r="473" spans="1:2" ht="14.4" x14ac:dyDescent="0.3">
      <c r="A473" s="2"/>
      <c r="B473" s="2"/>
    </row>
    <row r="474" spans="1:2" ht="14.4" x14ac:dyDescent="0.3">
      <c r="A474" s="2"/>
      <c r="B474" s="2"/>
    </row>
    <row r="475" spans="1:2" ht="14.4" x14ac:dyDescent="0.3">
      <c r="A475" s="2"/>
      <c r="B475" s="2"/>
    </row>
    <row r="476" spans="1:2" ht="14.4" x14ac:dyDescent="0.3">
      <c r="A476" s="2"/>
      <c r="B476" s="2"/>
    </row>
    <row r="477" spans="1:2" ht="14.4" x14ac:dyDescent="0.3">
      <c r="A477" s="2"/>
      <c r="B477" s="2"/>
    </row>
    <row r="478" spans="1:2" ht="14.4" x14ac:dyDescent="0.3">
      <c r="A478" s="2"/>
      <c r="B478" s="2"/>
    </row>
    <row r="479" spans="1:2" ht="14.4" x14ac:dyDescent="0.3">
      <c r="A479" s="2"/>
      <c r="B479" s="2"/>
    </row>
    <row r="480" spans="1:2" ht="14.4" x14ac:dyDescent="0.3">
      <c r="A480" s="2"/>
      <c r="B480" s="2"/>
    </row>
    <row r="481" spans="1:2" ht="14.4" x14ac:dyDescent="0.3">
      <c r="A481" s="2"/>
      <c r="B481" s="2"/>
    </row>
    <row r="482" spans="1:2" ht="14.4" x14ac:dyDescent="0.3">
      <c r="A482" s="2"/>
      <c r="B482" s="2"/>
    </row>
    <row r="483" spans="1:2" ht="14.4" x14ac:dyDescent="0.3">
      <c r="A483" s="2"/>
      <c r="B483" s="2"/>
    </row>
    <row r="484" spans="1:2" ht="14.4" x14ac:dyDescent="0.3">
      <c r="A484" s="2"/>
      <c r="B484" s="2"/>
    </row>
    <row r="485" spans="1:2" ht="14.4" x14ac:dyDescent="0.3">
      <c r="A485" s="2"/>
      <c r="B485" s="2"/>
    </row>
    <row r="486" spans="1:2" ht="14.4" x14ac:dyDescent="0.3">
      <c r="A486" s="2"/>
      <c r="B486" s="2"/>
    </row>
    <row r="487" spans="1:2" ht="14.4" x14ac:dyDescent="0.3">
      <c r="A487" s="2"/>
      <c r="B487" s="2"/>
    </row>
    <row r="488" spans="1:2" ht="14.4" x14ac:dyDescent="0.3">
      <c r="A488" s="2"/>
      <c r="B488" s="2"/>
    </row>
    <row r="489" spans="1:2" ht="14.4" x14ac:dyDescent="0.3">
      <c r="A489" s="2"/>
      <c r="B489" s="2"/>
    </row>
    <row r="490" spans="1:2" ht="14.4" x14ac:dyDescent="0.3">
      <c r="A490" s="2"/>
      <c r="B490" s="2"/>
    </row>
    <row r="491" spans="1:2" ht="14.4" x14ac:dyDescent="0.3">
      <c r="A491" s="2"/>
      <c r="B491" s="2"/>
    </row>
    <row r="492" spans="1:2" ht="14.4" x14ac:dyDescent="0.3">
      <c r="A492" s="2"/>
      <c r="B492" s="2"/>
    </row>
    <row r="493" spans="1:2" ht="14.4" x14ac:dyDescent="0.3">
      <c r="A493" s="2"/>
      <c r="B493" s="2"/>
    </row>
    <row r="494" spans="1:2" ht="14.4" x14ac:dyDescent="0.3">
      <c r="A494" s="2"/>
      <c r="B494" s="2"/>
    </row>
    <row r="495" spans="1:2" ht="14.4" x14ac:dyDescent="0.3">
      <c r="A495" s="2"/>
      <c r="B495" s="2"/>
    </row>
    <row r="496" spans="1:2" ht="14.4" x14ac:dyDescent="0.3">
      <c r="A496" s="2"/>
      <c r="B496" s="2"/>
    </row>
    <row r="497" spans="1:2" ht="14.4" x14ac:dyDescent="0.3">
      <c r="A497" s="2"/>
      <c r="B497" s="2"/>
    </row>
    <row r="498" spans="1:2" ht="14.4" x14ac:dyDescent="0.3">
      <c r="A498" s="2"/>
      <c r="B498" s="2"/>
    </row>
    <row r="499" spans="1:2" ht="14.4" x14ac:dyDescent="0.3">
      <c r="A499" s="2"/>
      <c r="B499" s="2"/>
    </row>
    <row r="500" spans="1:2" ht="14.4" x14ac:dyDescent="0.3">
      <c r="A500" s="2"/>
      <c r="B500" s="2"/>
    </row>
    <row r="501" spans="1:2" ht="14.4" x14ac:dyDescent="0.3">
      <c r="A501" s="2"/>
      <c r="B501" s="2"/>
    </row>
    <row r="502" spans="1:2" ht="14.4" x14ac:dyDescent="0.3">
      <c r="A502" s="2"/>
      <c r="B502" s="2"/>
    </row>
    <row r="503" spans="1:2" ht="14.4" x14ac:dyDescent="0.3">
      <c r="A503" s="2"/>
      <c r="B503" s="2"/>
    </row>
    <row r="504" spans="1:2" ht="14.4" x14ac:dyDescent="0.3">
      <c r="A504" s="2"/>
      <c r="B504" s="2"/>
    </row>
    <row r="505" spans="1:2" ht="14.4" x14ac:dyDescent="0.3">
      <c r="A505" s="2"/>
      <c r="B505" s="2"/>
    </row>
    <row r="506" spans="1:2" ht="14.4" x14ac:dyDescent="0.3">
      <c r="A506" s="2"/>
      <c r="B506" s="2"/>
    </row>
    <row r="507" spans="1:2" ht="14.4" x14ac:dyDescent="0.3">
      <c r="A507" s="2"/>
      <c r="B507" s="2"/>
    </row>
    <row r="508" spans="1:2" ht="14.4" x14ac:dyDescent="0.3">
      <c r="A508" s="2"/>
      <c r="B508" s="2"/>
    </row>
    <row r="509" spans="1:2" ht="14.4" x14ac:dyDescent="0.3">
      <c r="A509" s="2"/>
      <c r="B509" s="2"/>
    </row>
    <row r="510" spans="1:2" ht="14.4" x14ac:dyDescent="0.3">
      <c r="A510" s="2"/>
      <c r="B510" s="2"/>
    </row>
    <row r="511" spans="1:2" ht="14.4" x14ac:dyDescent="0.3">
      <c r="A511" s="2"/>
      <c r="B511" s="2"/>
    </row>
    <row r="512" spans="1:2" ht="14.4" x14ac:dyDescent="0.3">
      <c r="A512" s="2"/>
      <c r="B512" s="2"/>
    </row>
    <row r="513" spans="1:2" ht="14.4" x14ac:dyDescent="0.3">
      <c r="A513" s="2"/>
      <c r="B513" s="2"/>
    </row>
    <row r="514" spans="1:2" ht="14.4" x14ac:dyDescent="0.3">
      <c r="A514" s="2"/>
      <c r="B514" s="2"/>
    </row>
    <row r="515" spans="1:2" ht="14.4" x14ac:dyDescent="0.3">
      <c r="A515" s="2"/>
      <c r="B515" s="2"/>
    </row>
    <row r="516" spans="1:2" ht="14.4" x14ac:dyDescent="0.3">
      <c r="A516" s="2"/>
      <c r="B516" s="2"/>
    </row>
    <row r="517" spans="1:2" ht="14.4" x14ac:dyDescent="0.3">
      <c r="A517" s="2"/>
      <c r="B517" s="2"/>
    </row>
    <row r="518" spans="1:2" ht="14.4" x14ac:dyDescent="0.3">
      <c r="A518" s="2"/>
      <c r="B518" s="2"/>
    </row>
    <row r="519" spans="1:2" ht="14.4" x14ac:dyDescent="0.3">
      <c r="A519" s="2"/>
      <c r="B519" s="2"/>
    </row>
    <row r="520" spans="1:2" ht="14.4" x14ac:dyDescent="0.3">
      <c r="A520" s="2"/>
      <c r="B520" s="2"/>
    </row>
    <row r="521" spans="1:2" ht="14.4" x14ac:dyDescent="0.3">
      <c r="A521" s="2"/>
      <c r="B521" s="2"/>
    </row>
    <row r="522" spans="1:2" ht="14.4" x14ac:dyDescent="0.3">
      <c r="A522" s="2"/>
      <c r="B522" s="2"/>
    </row>
    <row r="523" spans="1:2" ht="14.4" x14ac:dyDescent="0.3">
      <c r="A523" s="2"/>
      <c r="B523" s="2"/>
    </row>
    <row r="524" spans="1:2" ht="14.4" x14ac:dyDescent="0.3">
      <c r="A524" s="2"/>
      <c r="B524" s="2"/>
    </row>
    <row r="525" spans="1:2" ht="14.4" x14ac:dyDescent="0.3">
      <c r="A525" s="2"/>
      <c r="B525" s="2"/>
    </row>
    <row r="526" spans="1:2" ht="14.4" x14ac:dyDescent="0.3">
      <c r="A526" s="2"/>
      <c r="B526" s="2"/>
    </row>
    <row r="527" spans="1:2" ht="14.4" x14ac:dyDescent="0.3">
      <c r="A527" s="2"/>
      <c r="B527" s="2"/>
    </row>
    <row r="528" spans="1:2" ht="14.4" x14ac:dyDescent="0.3">
      <c r="A528" s="2"/>
      <c r="B528" s="2"/>
    </row>
    <row r="529" spans="1:2" ht="14.4" x14ac:dyDescent="0.3">
      <c r="A529" s="2"/>
      <c r="B529" s="2"/>
    </row>
    <row r="530" spans="1:2" ht="14.4" x14ac:dyDescent="0.3">
      <c r="A530" s="2"/>
      <c r="B530" s="2"/>
    </row>
    <row r="531" spans="1:2" ht="14.4" x14ac:dyDescent="0.3">
      <c r="A531" s="2"/>
      <c r="B531" s="2"/>
    </row>
    <row r="532" spans="1:2" ht="14.4" x14ac:dyDescent="0.3">
      <c r="A532" s="2"/>
      <c r="B532" s="2"/>
    </row>
    <row r="533" spans="1:2" ht="14.4" x14ac:dyDescent="0.3">
      <c r="A533" s="2"/>
      <c r="B533" s="2"/>
    </row>
    <row r="534" spans="1:2" ht="14.4" x14ac:dyDescent="0.3">
      <c r="A534" s="2"/>
      <c r="B534" s="2"/>
    </row>
    <row r="535" spans="1:2" ht="14.4" x14ac:dyDescent="0.3">
      <c r="A535" s="2"/>
      <c r="B535" s="2"/>
    </row>
    <row r="536" spans="1:2" ht="14.4" x14ac:dyDescent="0.3">
      <c r="A536" s="2"/>
      <c r="B536" s="2"/>
    </row>
    <row r="537" spans="1:2" ht="14.4" x14ac:dyDescent="0.3">
      <c r="A537" s="2"/>
      <c r="B537" s="2"/>
    </row>
    <row r="538" spans="1:2" ht="14.4" x14ac:dyDescent="0.3">
      <c r="A538" s="2"/>
      <c r="B538" s="2"/>
    </row>
    <row r="539" spans="1:2" ht="14.4" x14ac:dyDescent="0.3">
      <c r="A539" s="2"/>
      <c r="B539" s="2"/>
    </row>
    <row r="540" spans="1:2" ht="14.4" x14ac:dyDescent="0.3">
      <c r="A540" s="2"/>
      <c r="B540" s="2"/>
    </row>
    <row r="541" spans="1:2" ht="14.4" x14ac:dyDescent="0.3">
      <c r="A541" s="2"/>
      <c r="B541" s="2"/>
    </row>
    <row r="542" spans="1:2" ht="14.4" x14ac:dyDescent="0.3">
      <c r="A542" s="2"/>
      <c r="B542" s="2"/>
    </row>
    <row r="543" spans="1:2" ht="14.4" x14ac:dyDescent="0.3">
      <c r="A543" s="2"/>
      <c r="B543" s="2"/>
    </row>
    <row r="544" spans="1:2" ht="14.4" x14ac:dyDescent="0.3">
      <c r="A544" s="2"/>
      <c r="B544" s="2"/>
    </row>
    <row r="545" spans="1:2" ht="14.4" x14ac:dyDescent="0.3">
      <c r="A545" s="2"/>
      <c r="B545" s="2"/>
    </row>
    <row r="546" spans="1:2" ht="14.4" x14ac:dyDescent="0.3">
      <c r="A546" s="2"/>
      <c r="B546" s="2"/>
    </row>
    <row r="547" spans="1:2" ht="14.4" x14ac:dyDescent="0.3">
      <c r="A547" s="2"/>
      <c r="B547" s="2"/>
    </row>
    <row r="548" spans="1:2" ht="14.4" x14ac:dyDescent="0.3">
      <c r="A548" s="2"/>
      <c r="B548" s="2"/>
    </row>
    <row r="549" spans="1:2" ht="14.4" x14ac:dyDescent="0.3">
      <c r="A549" s="2"/>
      <c r="B549" s="2"/>
    </row>
    <row r="550" spans="1:2" ht="14.4" x14ac:dyDescent="0.3">
      <c r="A550" s="2"/>
      <c r="B550" s="2"/>
    </row>
    <row r="551" spans="1:2" ht="14.4" x14ac:dyDescent="0.3">
      <c r="A551" s="2"/>
      <c r="B551" s="2"/>
    </row>
    <row r="552" spans="1:2" ht="14.4" x14ac:dyDescent="0.3">
      <c r="A552" s="2"/>
      <c r="B552" s="2"/>
    </row>
    <row r="553" spans="1:2" ht="14.4" x14ac:dyDescent="0.3">
      <c r="A553" s="2"/>
      <c r="B553" s="2"/>
    </row>
    <row r="554" spans="1:2" ht="14.4" x14ac:dyDescent="0.3">
      <c r="A554" s="2"/>
      <c r="B554" s="2"/>
    </row>
    <row r="555" spans="1:2" ht="14.4" x14ac:dyDescent="0.3">
      <c r="A555" s="2"/>
      <c r="B555" s="2"/>
    </row>
    <row r="556" spans="1:2" ht="14.4" x14ac:dyDescent="0.3">
      <c r="A556" s="2"/>
      <c r="B556" s="2"/>
    </row>
    <row r="557" spans="1:2" ht="14.4" x14ac:dyDescent="0.3">
      <c r="A557" s="2"/>
      <c r="B557" s="2"/>
    </row>
    <row r="558" spans="1:2" ht="14.4" x14ac:dyDescent="0.3">
      <c r="A558" s="2"/>
      <c r="B558" s="2"/>
    </row>
    <row r="559" spans="1:2" ht="14.4" x14ac:dyDescent="0.3">
      <c r="A559" s="2"/>
      <c r="B559" s="2"/>
    </row>
    <row r="560" spans="1:2" ht="14.4" x14ac:dyDescent="0.3">
      <c r="A560" s="2"/>
      <c r="B560" s="2"/>
    </row>
    <row r="561" spans="1:2" ht="14.4" x14ac:dyDescent="0.3">
      <c r="A561" s="2"/>
      <c r="B561" s="2"/>
    </row>
    <row r="562" spans="1:2" ht="14.4" x14ac:dyDescent="0.3">
      <c r="A562" s="2"/>
      <c r="B562" s="2"/>
    </row>
    <row r="563" spans="1:2" ht="14.4" x14ac:dyDescent="0.3">
      <c r="A563" s="2"/>
      <c r="B563" s="2"/>
    </row>
    <row r="564" spans="1:2" ht="14.4" x14ac:dyDescent="0.3">
      <c r="A564" s="2"/>
      <c r="B564" s="2"/>
    </row>
    <row r="565" spans="1:2" ht="14.4" x14ac:dyDescent="0.3">
      <c r="A565" s="2"/>
      <c r="B565" s="2"/>
    </row>
    <row r="566" spans="1:2" ht="14.4" x14ac:dyDescent="0.3">
      <c r="A566" s="2"/>
      <c r="B566" s="2"/>
    </row>
    <row r="567" spans="1:2" ht="14.4" x14ac:dyDescent="0.3">
      <c r="A567" s="2"/>
      <c r="B567" s="2"/>
    </row>
    <row r="568" spans="1:2" ht="14.4" x14ac:dyDescent="0.3">
      <c r="A568" s="2"/>
      <c r="B568" s="2"/>
    </row>
    <row r="569" spans="1:2" ht="14.4" x14ac:dyDescent="0.3">
      <c r="A569" s="2"/>
      <c r="B569" s="2"/>
    </row>
    <row r="570" spans="1:2" ht="14.4" x14ac:dyDescent="0.3">
      <c r="A570" s="2"/>
      <c r="B570" s="2"/>
    </row>
    <row r="571" spans="1:2" ht="14.4" x14ac:dyDescent="0.3">
      <c r="A571" s="2"/>
      <c r="B571" s="2"/>
    </row>
    <row r="572" spans="1:2" ht="14.4" x14ac:dyDescent="0.3">
      <c r="A572" s="2"/>
      <c r="B572" s="2"/>
    </row>
    <row r="573" spans="1:2" ht="14.4" x14ac:dyDescent="0.3">
      <c r="A573" s="2"/>
      <c r="B573" s="2"/>
    </row>
    <row r="574" spans="1:2" ht="14.4" x14ac:dyDescent="0.3">
      <c r="A574" s="2"/>
      <c r="B574" s="2"/>
    </row>
    <row r="575" spans="1:2" ht="14.4" x14ac:dyDescent="0.3">
      <c r="A575" s="2"/>
      <c r="B575" s="2"/>
    </row>
    <row r="576" spans="1:2" ht="14.4" x14ac:dyDescent="0.3">
      <c r="A576" s="2"/>
      <c r="B576" s="2"/>
    </row>
    <row r="577" spans="1:2" ht="14.4" x14ac:dyDescent="0.3">
      <c r="A577" s="2"/>
      <c r="B577" s="2"/>
    </row>
    <row r="578" spans="1:2" ht="14.4" x14ac:dyDescent="0.3">
      <c r="A578" s="2"/>
      <c r="B578" s="2"/>
    </row>
    <row r="579" spans="1:2" ht="14.4" x14ac:dyDescent="0.3">
      <c r="A579" s="2"/>
      <c r="B579" s="2"/>
    </row>
    <row r="580" spans="1:2" ht="14.4" x14ac:dyDescent="0.3">
      <c r="A580" s="2"/>
      <c r="B580" s="2"/>
    </row>
    <row r="581" spans="1:2" ht="14.4" x14ac:dyDescent="0.3">
      <c r="A581" s="2"/>
      <c r="B581" s="2"/>
    </row>
    <row r="582" spans="1:2" ht="14.4" x14ac:dyDescent="0.3">
      <c r="A582" s="2"/>
      <c r="B582" s="2"/>
    </row>
    <row r="583" spans="1:2" ht="14.4" x14ac:dyDescent="0.3">
      <c r="A583" s="2"/>
      <c r="B583" s="2"/>
    </row>
    <row r="584" spans="1:2" ht="14.4" x14ac:dyDescent="0.3">
      <c r="A584" s="2"/>
      <c r="B584" s="2"/>
    </row>
    <row r="585" spans="1:2" ht="14.4" x14ac:dyDescent="0.3">
      <c r="A585" s="2"/>
      <c r="B585" s="2"/>
    </row>
    <row r="586" spans="1:2" ht="14.4" x14ac:dyDescent="0.3">
      <c r="A586" s="2"/>
      <c r="B586" s="2"/>
    </row>
    <row r="587" spans="1:2" ht="14.4" x14ac:dyDescent="0.3">
      <c r="A587" s="2"/>
      <c r="B587" s="2"/>
    </row>
    <row r="588" spans="1:2" ht="14.4" x14ac:dyDescent="0.3">
      <c r="A588" s="2"/>
      <c r="B588" s="2"/>
    </row>
    <row r="589" spans="1:2" ht="14.4" x14ac:dyDescent="0.3">
      <c r="A589" s="2"/>
      <c r="B589" s="2"/>
    </row>
    <row r="590" spans="1:2" ht="14.4" x14ac:dyDescent="0.3">
      <c r="A590" s="2"/>
      <c r="B590" s="2"/>
    </row>
    <row r="591" spans="1:2" ht="14.4" x14ac:dyDescent="0.3">
      <c r="A591" s="2"/>
      <c r="B591" s="2"/>
    </row>
    <row r="592" spans="1:2" ht="14.4" x14ac:dyDescent="0.3">
      <c r="A592" s="2"/>
      <c r="B592" s="2"/>
    </row>
    <row r="593" spans="1:2" ht="14.4" x14ac:dyDescent="0.3">
      <c r="A593" s="2"/>
      <c r="B593" s="2"/>
    </row>
    <row r="594" spans="1:2" ht="14.4" x14ac:dyDescent="0.3">
      <c r="A594" s="2"/>
      <c r="B594" s="2"/>
    </row>
    <row r="595" spans="1:2" ht="14.4" x14ac:dyDescent="0.3">
      <c r="A595" s="2"/>
      <c r="B595" s="2"/>
    </row>
    <row r="596" spans="1:2" ht="14.4" x14ac:dyDescent="0.3">
      <c r="A596" s="2"/>
      <c r="B596" s="2"/>
    </row>
    <row r="597" spans="1:2" ht="14.4" x14ac:dyDescent="0.3">
      <c r="A597" s="2"/>
      <c r="B597" s="2"/>
    </row>
    <row r="598" spans="1:2" ht="14.4" x14ac:dyDescent="0.3">
      <c r="A598" s="2"/>
      <c r="B598" s="2"/>
    </row>
    <row r="599" spans="1:2" ht="14.4" x14ac:dyDescent="0.3">
      <c r="A599" s="2"/>
      <c r="B599" s="2"/>
    </row>
    <row r="600" spans="1:2" ht="14.4" x14ac:dyDescent="0.3">
      <c r="A600" s="2"/>
      <c r="B600" s="2"/>
    </row>
    <row r="601" spans="1:2" ht="14.4" x14ac:dyDescent="0.3">
      <c r="A601" s="2"/>
      <c r="B601" s="2"/>
    </row>
    <row r="602" spans="1:2" ht="14.4" x14ac:dyDescent="0.3">
      <c r="A602" s="2"/>
      <c r="B602" s="2"/>
    </row>
    <row r="603" spans="1:2" ht="14.4" x14ac:dyDescent="0.3">
      <c r="A603" s="2"/>
      <c r="B603" s="2"/>
    </row>
    <row r="604" spans="1:2" ht="14.4" x14ac:dyDescent="0.3">
      <c r="A604" s="2"/>
      <c r="B604" s="2"/>
    </row>
    <row r="605" spans="1:2" ht="14.4" x14ac:dyDescent="0.3">
      <c r="A605" s="2"/>
      <c r="B605" s="2"/>
    </row>
    <row r="606" spans="1:2" ht="14.4" x14ac:dyDescent="0.3">
      <c r="A606" s="2"/>
      <c r="B606" s="2"/>
    </row>
    <row r="607" spans="1:2" ht="14.4" x14ac:dyDescent="0.3">
      <c r="A607" s="2"/>
      <c r="B607" s="2"/>
    </row>
    <row r="608" spans="1:2" ht="14.4" x14ac:dyDescent="0.3">
      <c r="A608" s="2"/>
      <c r="B608" s="2"/>
    </row>
    <row r="609" spans="1:2" ht="14.4" x14ac:dyDescent="0.3">
      <c r="A609" s="2"/>
      <c r="B609" s="2"/>
    </row>
    <row r="610" spans="1:2" ht="14.4" x14ac:dyDescent="0.3">
      <c r="A610" s="2"/>
      <c r="B610" s="2"/>
    </row>
    <row r="611" spans="1:2" ht="14.4" x14ac:dyDescent="0.3">
      <c r="A611" s="2"/>
      <c r="B611" s="2"/>
    </row>
    <row r="612" spans="1:2" ht="14.4" x14ac:dyDescent="0.3">
      <c r="A612" s="2"/>
      <c r="B612" s="2"/>
    </row>
    <row r="613" spans="1:2" ht="14.4" x14ac:dyDescent="0.3">
      <c r="A613" s="2"/>
      <c r="B613" s="2"/>
    </row>
    <row r="614" spans="1:2" ht="14.4" x14ac:dyDescent="0.3">
      <c r="A614" s="2"/>
      <c r="B614" s="2"/>
    </row>
    <row r="615" spans="1:2" ht="14.4" x14ac:dyDescent="0.3">
      <c r="A615" s="2"/>
      <c r="B615" s="2"/>
    </row>
    <row r="616" spans="1:2" ht="14.4" x14ac:dyDescent="0.3">
      <c r="A616" s="2"/>
      <c r="B616" s="2"/>
    </row>
    <row r="617" spans="1:2" ht="14.4" x14ac:dyDescent="0.3">
      <c r="A617" s="2"/>
      <c r="B617" s="2"/>
    </row>
    <row r="618" spans="1:2" ht="14.4" x14ac:dyDescent="0.3">
      <c r="A618" s="2"/>
      <c r="B618" s="2"/>
    </row>
    <row r="619" spans="1:2" ht="14.4" x14ac:dyDescent="0.3">
      <c r="A619" s="2"/>
      <c r="B619" s="2"/>
    </row>
    <row r="620" spans="1:2" ht="14.4" x14ac:dyDescent="0.3">
      <c r="A620" s="2"/>
      <c r="B620" s="2"/>
    </row>
    <row r="621" spans="1:2" ht="14.4" x14ac:dyDescent="0.3">
      <c r="A621" s="2"/>
      <c r="B621" s="2"/>
    </row>
    <row r="622" spans="1:2" ht="14.4" x14ac:dyDescent="0.3">
      <c r="A622" s="2"/>
      <c r="B622" s="2"/>
    </row>
    <row r="623" spans="1:2" ht="14.4" x14ac:dyDescent="0.3">
      <c r="A623" s="2"/>
      <c r="B623" s="2"/>
    </row>
    <row r="624" spans="1:2" ht="14.4" x14ac:dyDescent="0.3">
      <c r="A624" s="2"/>
      <c r="B624" s="2"/>
    </row>
    <row r="625" spans="1:2" ht="14.4" x14ac:dyDescent="0.3">
      <c r="A625" s="2"/>
      <c r="B625" s="2"/>
    </row>
    <row r="626" spans="1:2" ht="14.4" x14ac:dyDescent="0.3">
      <c r="A626" s="2"/>
      <c r="B626" s="2"/>
    </row>
    <row r="627" spans="1:2" ht="14.4" x14ac:dyDescent="0.3">
      <c r="A627" s="2"/>
      <c r="B627" s="2"/>
    </row>
    <row r="628" spans="1:2" ht="14.4" x14ac:dyDescent="0.3">
      <c r="A628" s="2"/>
      <c r="B628" s="2"/>
    </row>
    <row r="629" spans="1:2" ht="14.4" x14ac:dyDescent="0.3">
      <c r="A629" s="2"/>
      <c r="B629" s="2"/>
    </row>
    <row r="630" spans="1:2" ht="14.4" x14ac:dyDescent="0.3">
      <c r="A630" s="2"/>
      <c r="B630" s="2"/>
    </row>
    <row r="631" spans="1:2" ht="14.4" x14ac:dyDescent="0.3">
      <c r="A631" s="2"/>
      <c r="B631" s="2"/>
    </row>
    <row r="632" spans="1:2" ht="14.4" x14ac:dyDescent="0.3">
      <c r="A632" s="2"/>
      <c r="B632" s="2"/>
    </row>
    <row r="633" spans="1:2" ht="14.4" x14ac:dyDescent="0.3">
      <c r="A633" s="2"/>
      <c r="B633" s="2"/>
    </row>
    <row r="634" spans="1:2" ht="14.4" x14ac:dyDescent="0.3">
      <c r="A634" s="2"/>
      <c r="B634" s="2"/>
    </row>
    <row r="635" spans="1:2" ht="14.4" x14ac:dyDescent="0.3">
      <c r="A635" s="2"/>
      <c r="B635" s="2"/>
    </row>
    <row r="636" spans="1:2" ht="14.4" x14ac:dyDescent="0.3">
      <c r="A636" s="2"/>
      <c r="B636" s="2"/>
    </row>
    <row r="637" spans="1:2" ht="14.4" x14ac:dyDescent="0.3">
      <c r="A637" s="2"/>
      <c r="B637" s="2"/>
    </row>
    <row r="638" spans="1:2" ht="14.4" x14ac:dyDescent="0.3">
      <c r="A638" s="2"/>
      <c r="B638" s="2"/>
    </row>
    <row r="639" spans="1:2" ht="14.4" x14ac:dyDescent="0.3">
      <c r="A639" s="2"/>
      <c r="B639" s="2"/>
    </row>
    <row r="640" spans="1:2" ht="14.4" x14ac:dyDescent="0.3">
      <c r="A640" s="2"/>
      <c r="B640" s="2"/>
    </row>
    <row r="641" spans="1:2" ht="14.4" x14ac:dyDescent="0.3">
      <c r="A641" s="2"/>
      <c r="B641" s="2"/>
    </row>
    <row r="642" spans="1:2" ht="14.4" x14ac:dyDescent="0.3">
      <c r="A642" s="2"/>
      <c r="B642" s="2"/>
    </row>
    <row r="643" spans="1:2" ht="14.4" x14ac:dyDescent="0.3">
      <c r="A643" s="2"/>
      <c r="B643" s="2"/>
    </row>
    <row r="644" spans="1:2" ht="14.4" x14ac:dyDescent="0.3">
      <c r="A644" s="2"/>
      <c r="B644" s="2"/>
    </row>
    <row r="645" spans="1:2" ht="14.4" x14ac:dyDescent="0.3">
      <c r="A645" s="2"/>
      <c r="B645" s="2"/>
    </row>
    <row r="646" spans="1:2" ht="14.4" x14ac:dyDescent="0.3">
      <c r="A646" s="2"/>
      <c r="B646" s="2"/>
    </row>
    <row r="647" spans="1:2" ht="14.4" x14ac:dyDescent="0.3">
      <c r="A647" s="2"/>
      <c r="B647" s="2"/>
    </row>
    <row r="648" spans="1:2" ht="14.4" x14ac:dyDescent="0.3">
      <c r="A648" s="2"/>
      <c r="B648" s="2"/>
    </row>
    <row r="649" spans="1:2" ht="14.4" x14ac:dyDescent="0.3">
      <c r="A649" s="2"/>
      <c r="B649" s="2"/>
    </row>
    <row r="650" spans="1:2" ht="14.4" x14ac:dyDescent="0.3">
      <c r="A650" s="2"/>
      <c r="B650" s="2"/>
    </row>
    <row r="651" spans="1:2" ht="14.4" x14ac:dyDescent="0.3">
      <c r="A651" s="2"/>
      <c r="B651" s="2"/>
    </row>
    <row r="652" spans="1:2" ht="14.4" x14ac:dyDescent="0.3">
      <c r="A652" s="2"/>
      <c r="B652" s="2"/>
    </row>
    <row r="653" spans="1:2" ht="14.4" x14ac:dyDescent="0.3">
      <c r="A653" s="2"/>
      <c r="B653" s="2"/>
    </row>
    <row r="654" spans="1:2" ht="14.4" x14ac:dyDescent="0.3">
      <c r="A654" s="2"/>
      <c r="B654" s="2"/>
    </row>
    <row r="655" spans="1:2" ht="14.4" x14ac:dyDescent="0.3">
      <c r="A655" s="2"/>
      <c r="B655" s="2"/>
    </row>
    <row r="656" spans="1:2" ht="14.4" x14ac:dyDescent="0.3">
      <c r="A656" s="2"/>
      <c r="B656" s="2"/>
    </row>
    <row r="657" spans="1:2" ht="14.4" x14ac:dyDescent="0.3">
      <c r="A657" s="2"/>
      <c r="B657" s="2"/>
    </row>
    <row r="658" spans="1:2" ht="14.4" x14ac:dyDescent="0.3">
      <c r="A658" s="2"/>
      <c r="B658" s="2"/>
    </row>
    <row r="659" spans="1:2" ht="14.4" x14ac:dyDescent="0.3">
      <c r="A659" s="2"/>
      <c r="B659" s="2"/>
    </row>
    <row r="660" spans="1:2" ht="14.4" x14ac:dyDescent="0.3">
      <c r="A660" s="2"/>
      <c r="B660" s="2"/>
    </row>
    <row r="661" spans="1:2" ht="14.4" x14ac:dyDescent="0.3">
      <c r="A661" s="2"/>
      <c r="B661" s="2"/>
    </row>
    <row r="662" spans="1:2" ht="14.4" x14ac:dyDescent="0.3">
      <c r="A662" s="2"/>
      <c r="B662" s="2"/>
    </row>
    <row r="663" spans="1:2" ht="14.4" x14ac:dyDescent="0.3">
      <c r="A663" s="2"/>
      <c r="B663" s="2"/>
    </row>
    <row r="664" spans="1:2" ht="14.4" x14ac:dyDescent="0.3">
      <c r="A664" s="2"/>
      <c r="B664" s="2"/>
    </row>
    <row r="665" spans="1:2" ht="14.4" x14ac:dyDescent="0.3">
      <c r="A665" s="2"/>
      <c r="B665" s="2"/>
    </row>
    <row r="666" spans="1:2" ht="14.4" x14ac:dyDescent="0.3">
      <c r="A666" s="2"/>
      <c r="B666" s="2"/>
    </row>
    <row r="667" spans="1:2" ht="14.4" x14ac:dyDescent="0.3">
      <c r="A667" s="2"/>
      <c r="B667" s="2"/>
    </row>
    <row r="668" spans="1:2" ht="14.4" x14ac:dyDescent="0.3">
      <c r="A668" s="2"/>
      <c r="B668" s="2"/>
    </row>
    <row r="669" spans="1:2" ht="14.4" x14ac:dyDescent="0.3">
      <c r="A669" s="2"/>
      <c r="B669" s="2"/>
    </row>
    <row r="670" spans="1:2" ht="14.4" x14ac:dyDescent="0.3">
      <c r="A670" s="2"/>
      <c r="B670" s="2"/>
    </row>
    <row r="671" spans="1:2" ht="14.4" x14ac:dyDescent="0.3">
      <c r="A671" s="2"/>
      <c r="B671" s="2"/>
    </row>
    <row r="672" spans="1:2" ht="14.4" x14ac:dyDescent="0.3">
      <c r="A672" s="2"/>
      <c r="B672" s="2"/>
    </row>
    <row r="673" spans="1:2" ht="14.4" x14ac:dyDescent="0.3">
      <c r="A673" s="2"/>
      <c r="B673" s="2"/>
    </row>
    <row r="674" spans="1:2" ht="14.4" x14ac:dyDescent="0.3">
      <c r="A674" s="2"/>
      <c r="B674" s="2"/>
    </row>
    <row r="675" spans="1:2" ht="14.4" x14ac:dyDescent="0.3">
      <c r="A675" s="2"/>
      <c r="B675" s="2"/>
    </row>
    <row r="676" spans="1:2" ht="14.4" x14ac:dyDescent="0.3">
      <c r="A676" s="2"/>
      <c r="B676" s="2"/>
    </row>
    <row r="677" spans="1:2" ht="14.4" x14ac:dyDescent="0.3">
      <c r="A677" s="2"/>
      <c r="B677" s="2"/>
    </row>
    <row r="678" spans="1:2" ht="14.4" x14ac:dyDescent="0.3">
      <c r="A678" s="2"/>
      <c r="B678" s="2"/>
    </row>
    <row r="679" spans="1:2" ht="14.4" x14ac:dyDescent="0.3">
      <c r="A679" s="2"/>
      <c r="B679" s="2"/>
    </row>
    <row r="680" spans="1:2" ht="14.4" x14ac:dyDescent="0.3">
      <c r="A680" s="2"/>
      <c r="B680" s="2"/>
    </row>
    <row r="681" spans="1:2" ht="14.4" x14ac:dyDescent="0.3">
      <c r="A681" s="2"/>
      <c r="B681" s="2"/>
    </row>
    <row r="682" spans="1:2" ht="14.4" x14ac:dyDescent="0.3">
      <c r="A682" s="2"/>
      <c r="B682" s="2"/>
    </row>
    <row r="683" spans="1:2" ht="14.4" x14ac:dyDescent="0.3">
      <c r="A683" s="2"/>
      <c r="B683" s="2"/>
    </row>
    <row r="684" spans="1:2" ht="14.4" x14ac:dyDescent="0.3">
      <c r="A684" s="2"/>
      <c r="B684" s="2"/>
    </row>
    <row r="685" spans="1:2" ht="14.4" x14ac:dyDescent="0.3">
      <c r="A685" s="2"/>
      <c r="B685" s="2"/>
    </row>
    <row r="686" spans="1:2" ht="14.4" x14ac:dyDescent="0.3">
      <c r="A686" s="2"/>
      <c r="B686" s="2"/>
    </row>
    <row r="687" spans="1:2" ht="14.4" x14ac:dyDescent="0.3">
      <c r="A687" s="2"/>
      <c r="B687" s="2"/>
    </row>
    <row r="688" spans="1:2" ht="14.4" x14ac:dyDescent="0.3">
      <c r="A688" s="2"/>
      <c r="B688" s="2"/>
    </row>
    <row r="689" spans="1:2" ht="14.4" x14ac:dyDescent="0.3">
      <c r="A689" s="2"/>
      <c r="B689" s="2"/>
    </row>
    <row r="690" spans="1:2" ht="14.4" x14ac:dyDescent="0.3">
      <c r="A690" s="2"/>
      <c r="B690" s="2"/>
    </row>
    <row r="691" spans="1:2" ht="14.4" x14ac:dyDescent="0.3">
      <c r="A691" s="2"/>
      <c r="B691" s="2"/>
    </row>
    <row r="692" spans="1:2" ht="14.4" x14ac:dyDescent="0.3">
      <c r="A692" s="2"/>
      <c r="B692" s="2"/>
    </row>
    <row r="693" spans="1:2" ht="14.4" x14ac:dyDescent="0.3">
      <c r="A693" s="2"/>
      <c r="B693" s="2"/>
    </row>
    <row r="694" spans="1:2" ht="14.4" x14ac:dyDescent="0.3">
      <c r="A694" s="2"/>
      <c r="B694" s="2"/>
    </row>
    <row r="695" spans="1:2" ht="14.4" x14ac:dyDescent="0.3">
      <c r="A695" s="2"/>
      <c r="B695" s="2"/>
    </row>
    <row r="696" spans="1:2" ht="14.4" x14ac:dyDescent="0.3">
      <c r="A696" s="2"/>
      <c r="B696" s="2"/>
    </row>
    <row r="697" spans="1:2" ht="14.4" x14ac:dyDescent="0.3">
      <c r="A697" s="2"/>
      <c r="B697" s="2"/>
    </row>
    <row r="698" spans="1:2" ht="14.4" x14ac:dyDescent="0.3">
      <c r="A698" s="2"/>
      <c r="B698" s="2"/>
    </row>
    <row r="699" spans="1:2" ht="14.4" x14ac:dyDescent="0.3">
      <c r="A699" s="2"/>
      <c r="B699" s="2"/>
    </row>
    <row r="700" spans="1:2" ht="14.4" x14ac:dyDescent="0.3">
      <c r="A700" s="2"/>
      <c r="B700" s="2"/>
    </row>
    <row r="701" spans="1:2" ht="14.4" x14ac:dyDescent="0.3">
      <c r="A701" s="2"/>
      <c r="B701" s="2"/>
    </row>
    <row r="702" spans="1:2" ht="14.4" x14ac:dyDescent="0.3">
      <c r="A702" s="2"/>
      <c r="B702" s="2"/>
    </row>
    <row r="703" spans="1:2" ht="14.4" x14ac:dyDescent="0.3">
      <c r="A703" s="2"/>
      <c r="B703" s="2"/>
    </row>
    <row r="704" spans="1:2" ht="14.4" x14ac:dyDescent="0.3">
      <c r="A704" s="2"/>
      <c r="B704" s="2"/>
    </row>
    <row r="705" spans="1:2" ht="14.4" x14ac:dyDescent="0.3">
      <c r="A705" s="2"/>
      <c r="B705" s="2"/>
    </row>
    <row r="706" spans="1:2" ht="14.4" x14ac:dyDescent="0.3">
      <c r="A706" s="2"/>
      <c r="B706" s="2"/>
    </row>
    <row r="707" spans="1:2" ht="14.4" x14ac:dyDescent="0.3">
      <c r="A707" s="2"/>
      <c r="B707" s="2"/>
    </row>
    <row r="708" spans="1:2" ht="14.4" x14ac:dyDescent="0.3">
      <c r="A708" s="2"/>
      <c r="B708" s="2"/>
    </row>
    <row r="709" spans="1:2" ht="14.4" x14ac:dyDescent="0.3">
      <c r="A709" s="2"/>
      <c r="B709" s="2"/>
    </row>
    <row r="710" spans="1:2" ht="14.4" x14ac:dyDescent="0.3">
      <c r="A710" s="2"/>
      <c r="B710" s="2"/>
    </row>
    <row r="711" spans="1:2" ht="14.4" x14ac:dyDescent="0.3">
      <c r="A711" s="2"/>
      <c r="B711" s="2"/>
    </row>
    <row r="712" spans="1:2" ht="14.4" x14ac:dyDescent="0.3">
      <c r="A712" s="2"/>
      <c r="B712" s="2"/>
    </row>
    <row r="713" spans="1:2" ht="14.4" x14ac:dyDescent="0.3">
      <c r="A713" s="2"/>
      <c r="B713" s="2"/>
    </row>
    <row r="714" spans="1:2" ht="14.4" x14ac:dyDescent="0.3">
      <c r="A714" s="2"/>
      <c r="B714" s="2"/>
    </row>
    <row r="715" spans="1:2" ht="14.4" x14ac:dyDescent="0.3">
      <c r="A715" s="2"/>
      <c r="B715" s="2"/>
    </row>
    <row r="716" spans="1:2" ht="14.4" x14ac:dyDescent="0.3">
      <c r="A716" s="2"/>
      <c r="B716" s="2"/>
    </row>
    <row r="717" spans="1:2" ht="14.4" x14ac:dyDescent="0.3">
      <c r="A717" s="2"/>
      <c r="B717" s="2"/>
    </row>
    <row r="718" spans="1:2" ht="14.4" x14ac:dyDescent="0.3">
      <c r="A718" s="2"/>
      <c r="B718" s="2"/>
    </row>
    <row r="719" spans="1:2" ht="14.4" x14ac:dyDescent="0.3">
      <c r="A719" s="2"/>
      <c r="B719" s="2"/>
    </row>
    <row r="720" spans="1:2" ht="14.4" x14ac:dyDescent="0.3">
      <c r="A720" s="2"/>
      <c r="B720" s="2"/>
    </row>
    <row r="721" spans="1:2" ht="14.4" x14ac:dyDescent="0.3">
      <c r="A721" s="2"/>
      <c r="B721" s="2"/>
    </row>
    <row r="722" spans="1:2" ht="14.4" x14ac:dyDescent="0.3">
      <c r="A722" s="2"/>
      <c r="B722" s="2"/>
    </row>
    <row r="723" spans="1:2" ht="14.4" x14ac:dyDescent="0.3">
      <c r="A723" s="2"/>
      <c r="B723" s="2"/>
    </row>
    <row r="724" spans="1:2" ht="14.4" x14ac:dyDescent="0.3">
      <c r="A724" s="2"/>
      <c r="B724" s="2"/>
    </row>
    <row r="725" spans="1:2" ht="14.4" x14ac:dyDescent="0.3">
      <c r="A725" s="2"/>
      <c r="B725" s="2"/>
    </row>
    <row r="726" spans="1:2" ht="14.4" x14ac:dyDescent="0.3">
      <c r="A726" s="2"/>
      <c r="B726" s="2"/>
    </row>
    <row r="727" spans="1:2" ht="14.4" x14ac:dyDescent="0.3">
      <c r="A727" s="2"/>
      <c r="B727" s="2"/>
    </row>
    <row r="728" spans="1:2" ht="14.4" x14ac:dyDescent="0.3">
      <c r="A728" s="2"/>
      <c r="B728" s="2"/>
    </row>
    <row r="729" spans="1:2" ht="14.4" x14ac:dyDescent="0.3">
      <c r="A729" s="2"/>
      <c r="B729" s="2"/>
    </row>
    <row r="730" spans="1:2" ht="14.4" x14ac:dyDescent="0.3">
      <c r="A730" s="2"/>
      <c r="B730" s="2"/>
    </row>
    <row r="731" spans="1:2" ht="14.4" x14ac:dyDescent="0.3">
      <c r="A731" s="2"/>
      <c r="B731" s="2"/>
    </row>
    <row r="732" spans="1:2" ht="14.4" x14ac:dyDescent="0.3">
      <c r="A732" s="2"/>
      <c r="B732" s="2"/>
    </row>
    <row r="733" spans="1:2" ht="14.4" x14ac:dyDescent="0.3">
      <c r="A733" s="2"/>
      <c r="B733" s="2"/>
    </row>
    <row r="734" spans="1:2" ht="14.4" x14ac:dyDescent="0.3">
      <c r="A734" s="2"/>
      <c r="B734" s="2"/>
    </row>
    <row r="735" spans="1:2" ht="14.4" x14ac:dyDescent="0.3">
      <c r="A735" s="2"/>
      <c r="B735" s="2"/>
    </row>
    <row r="736" spans="1:2" ht="14.4" x14ac:dyDescent="0.3">
      <c r="A736" s="2"/>
      <c r="B736" s="2"/>
    </row>
    <row r="737" spans="1:2" ht="14.4" x14ac:dyDescent="0.3">
      <c r="A737" s="2"/>
      <c r="B737" s="2"/>
    </row>
    <row r="738" spans="1:2" ht="14.4" x14ac:dyDescent="0.3">
      <c r="A738" s="2"/>
      <c r="B738" s="2"/>
    </row>
    <row r="739" spans="1:2" ht="14.4" x14ac:dyDescent="0.3">
      <c r="A739" s="2"/>
      <c r="B739" s="2"/>
    </row>
    <row r="740" spans="1:2" ht="14.4" x14ac:dyDescent="0.3">
      <c r="A740" s="2"/>
      <c r="B740" s="2"/>
    </row>
    <row r="741" spans="1:2" ht="14.4" x14ac:dyDescent="0.3">
      <c r="A741" s="2"/>
      <c r="B741" s="2"/>
    </row>
    <row r="742" spans="1:2" ht="14.4" x14ac:dyDescent="0.3">
      <c r="A742" s="2"/>
      <c r="B742" s="2"/>
    </row>
    <row r="743" spans="1:2" ht="14.4" x14ac:dyDescent="0.3">
      <c r="A743" s="2"/>
      <c r="B743" s="2"/>
    </row>
    <row r="744" spans="1:2" ht="14.4" x14ac:dyDescent="0.3">
      <c r="A744" s="2"/>
      <c r="B744" s="2"/>
    </row>
    <row r="745" spans="1:2" ht="14.4" x14ac:dyDescent="0.3">
      <c r="A745" s="2"/>
      <c r="B745" s="2"/>
    </row>
    <row r="746" spans="1:2" ht="14.4" x14ac:dyDescent="0.3">
      <c r="A746" s="2"/>
      <c r="B746" s="2"/>
    </row>
    <row r="747" spans="1:2" ht="14.4" x14ac:dyDescent="0.3">
      <c r="A747" s="2"/>
      <c r="B747" s="2"/>
    </row>
    <row r="748" spans="1:2" ht="14.4" x14ac:dyDescent="0.3">
      <c r="A748" s="2"/>
      <c r="B748" s="2"/>
    </row>
    <row r="749" spans="1:2" ht="14.4" x14ac:dyDescent="0.3">
      <c r="A749" s="2"/>
      <c r="B749" s="2"/>
    </row>
    <row r="750" spans="1:2" ht="14.4" x14ac:dyDescent="0.3">
      <c r="A750" s="2"/>
      <c r="B750" s="2"/>
    </row>
    <row r="751" spans="1:2" ht="14.4" x14ac:dyDescent="0.3">
      <c r="A751" s="2"/>
      <c r="B751" s="2"/>
    </row>
    <row r="752" spans="1:2" ht="14.4" x14ac:dyDescent="0.3">
      <c r="A752" s="2"/>
      <c r="B752" s="2"/>
    </row>
    <row r="753" spans="1:2" ht="14.4" x14ac:dyDescent="0.3">
      <c r="A753" s="2"/>
      <c r="B753" s="2"/>
    </row>
    <row r="754" spans="1:2" ht="14.4" x14ac:dyDescent="0.3">
      <c r="A754" s="2"/>
      <c r="B754" s="2"/>
    </row>
    <row r="755" spans="1:2" ht="14.4" x14ac:dyDescent="0.3">
      <c r="A755" s="2"/>
      <c r="B755" s="2"/>
    </row>
    <row r="756" spans="1:2" ht="14.4" x14ac:dyDescent="0.3">
      <c r="A756" s="2"/>
      <c r="B756" s="2"/>
    </row>
    <row r="757" spans="1:2" ht="14.4" x14ac:dyDescent="0.3">
      <c r="A757" s="2"/>
      <c r="B757" s="2"/>
    </row>
    <row r="758" spans="1:2" ht="14.4" x14ac:dyDescent="0.3">
      <c r="A758" s="2"/>
      <c r="B758" s="2"/>
    </row>
    <row r="759" spans="1:2" ht="14.4" x14ac:dyDescent="0.3">
      <c r="A759" s="2"/>
      <c r="B759" s="2"/>
    </row>
    <row r="760" spans="1:2" ht="14.4" x14ac:dyDescent="0.3">
      <c r="A760" s="2"/>
      <c r="B760" s="2"/>
    </row>
    <row r="761" spans="1:2" ht="14.4" x14ac:dyDescent="0.3">
      <c r="A761" s="2"/>
      <c r="B761" s="2"/>
    </row>
    <row r="762" spans="1:2" ht="14.4" x14ac:dyDescent="0.3">
      <c r="A762" s="2"/>
      <c r="B762" s="2"/>
    </row>
    <row r="763" spans="1:2" ht="14.4" x14ac:dyDescent="0.3">
      <c r="A763" s="2"/>
      <c r="B763" s="2"/>
    </row>
    <row r="764" spans="1:2" ht="14.4" x14ac:dyDescent="0.3">
      <c r="A764" s="2"/>
      <c r="B764" s="2"/>
    </row>
    <row r="765" spans="1:2" ht="14.4" x14ac:dyDescent="0.3">
      <c r="A765" s="2"/>
      <c r="B765" s="2"/>
    </row>
    <row r="766" spans="1:2" ht="14.4" x14ac:dyDescent="0.3">
      <c r="A766" s="2"/>
      <c r="B766" s="2"/>
    </row>
    <row r="767" spans="1:2" ht="14.4" x14ac:dyDescent="0.3">
      <c r="A767" s="2"/>
      <c r="B767" s="2"/>
    </row>
    <row r="768" spans="1:2" ht="14.4" x14ac:dyDescent="0.3">
      <c r="A768" s="2"/>
      <c r="B768" s="2"/>
    </row>
    <row r="769" spans="1:2" ht="14.4" x14ac:dyDescent="0.3">
      <c r="A769" s="2"/>
      <c r="B769" s="2"/>
    </row>
    <row r="770" spans="1:2" ht="14.4" x14ac:dyDescent="0.3">
      <c r="A770" s="2"/>
      <c r="B770" s="2"/>
    </row>
    <row r="771" spans="1:2" ht="14.4" x14ac:dyDescent="0.3">
      <c r="A771" s="2"/>
      <c r="B771" s="2"/>
    </row>
    <row r="772" spans="1:2" ht="14.4" x14ac:dyDescent="0.3">
      <c r="A772" s="2"/>
      <c r="B772" s="2"/>
    </row>
    <row r="773" spans="1:2" ht="14.4" x14ac:dyDescent="0.3">
      <c r="A773" s="2"/>
      <c r="B773" s="2"/>
    </row>
    <row r="774" spans="1:2" ht="14.4" x14ac:dyDescent="0.3">
      <c r="A774" s="2"/>
      <c r="B774" s="2"/>
    </row>
    <row r="775" spans="1:2" ht="14.4" x14ac:dyDescent="0.3">
      <c r="A775" s="2"/>
      <c r="B775" s="2"/>
    </row>
    <row r="776" spans="1:2" ht="14.4" x14ac:dyDescent="0.3">
      <c r="A776" s="2"/>
      <c r="B776" s="2"/>
    </row>
    <row r="777" spans="1:2" ht="14.4" x14ac:dyDescent="0.3">
      <c r="A777" s="2"/>
      <c r="B777" s="2"/>
    </row>
    <row r="778" spans="1:2" ht="14.4" x14ac:dyDescent="0.3">
      <c r="A778" s="2"/>
      <c r="B778" s="2"/>
    </row>
    <row r="779" spans="1:2" ht="14.4" x14ac:dyDescent="0.3">
      <c r="A779" s="2"/>
      <c r="B779" s="2"/>
    </row>
    <row r="780" spans="1:2" ht="14.4" x14ac:dyDescent="0.3">
      <c r="A780" s="2"/>
      <c r="B780" s="2"/>
    </row>
    <row r="781" spans="1:2" ht="14.4" x14ac:dyDescent="0.3">
      <c r="A781" s="2"/>
      <c r="B781" s="2"/>
    </row>
    <row r="782" spans="1:2" ht="14.4" x14ac:dyDescent="0.3">
      <c r="A782" s="2"/>
      <c r="B782" s="2"/>
    </row>
    <row r="783" spans="1:2" ht="14.4" x14ac:dyDescent="0.3">
      <c r="A783" s="2"/>
      <c r="B783" s="2"/>
    </row>
    <row r="784" spans="1:2" ht="14.4" x14ac:dyDescent="0.3">
      <c r="A784" s="2"/>
      <c r="B784" s="2"/>
    </row>
    <row r="785" spans="1:2" ht="14.4" x14ac:dyDescent="0.3">
      <c r="A785" s="2"/>
      <c r="B785" s="2"/>
    </row>
    <row r="786" spans="1:2" ht="14.4" x14ac:dyDescent="0.3">
      <c r="A786" s="2"/>
      <c r="B786" s="2"/>
    </row>
    <row r="787" spans="1:2" ht="14.4" x14ac:dyDescent="0.3">
      <c r="A787" s="2"/>
      <c r="B787" s="2"/>
    </row>
    <row r="788" spans="1:2" ht="14.4" x14ac:dyDescent="0.3">
      <c r="A788" s="2"/>
      <c r="B788" s="2"/>
    </row>
    <row r="789" spans="1:2" ht="14.4" x14ac:dyDescent="0.3">
      <c r="A789" s="2"/>
      <c r="B789" s="2"/>
    </row>
    <row r="790" spans="1:2" ht="14.4" x14ac:dyDescent="0.3">
      <c r="A790" s="2"/>
      <c r="B790" s="2"/>
    </row>
    <row r="791" spans="1:2" ht="14.4" x14ac:dyDescent="0.3">
      <c r="A791" s="2"/>
      <c r="B791" s="2"/>
    </row>
    <row r="792" spans="1:2" ht="14.4" x14ac:dyDescent="0.3">
      <c r="A792" s="2"/>
      <c r="B792" s="2"/>
    </row>
    <row r="793" spans="1:2" ht="14.4" x14ac:dyDescent="0.3">
      <c r="A793" s="2"/>
      <c r="B793" s="2"/>
    </row>
    <row r="794" spans="1:2" ht="14.4" x14ac:dyDescent="0.3">
      <c r="A794" s="2"/>
      <c r="B794" s="2"/>
    </row>
    <row r="795" spans="1:2" ht="14.4" x14ac:dyDescent="0.3">
      <c r="A795" s="2"/>
      <c r="B795" s="2"/>
    </row>
    <row r="796" spans="1:2" ht="14.4" x14ac:dyDescent="0.3">
      <c r="A796" s="2"/>
      <c r="B796" s="2"/>
    </row>
    <row r="797" spans="1:2" ht="14.4" x14ac:dyDescent="0.3">
      <c r="A797" s="2"/>
      <c r="B797" s="2"/>
    </row>
    <row r="798" spans="1:2" ht="14.4" x14ac:dyDescent="0.3">
      <c r="A798" s="2"/>
      <c r="B798" s="2"/>
    </row>
    <row r="799" spans="1:2" ht="14.4" x14ac:dyDescent="0.3">
      <c r="A799" s="2"/>
      <c r="B799" s="2"/>
    </row>
    <row r="800" spans="1:2" ht="14.4" x14ac:dyDescent="0.3">
      <c r="A800" s="2"/>
      <c r="B800" s="2"/>
    </row>
    <row r="801" spans="1:2" ht="14.4" x14ac:dyDescent="0.3">
      <c r="A801" s="2"/>
      <c r="B801" s="2"/>
    </row>
    <row r="802" spans="1:2" ht="14.4" x14ac:dyDescent="0.3">
      <c r="A802" s="2"/>
      <c r="B802" s="2"/>
    </row>
    <row r="803" spans="1:2" ht="14.4" x14ac:dyDescent="0.3">
      <c r="A803" s="2"/>
      <c r="B803" s="2"/>
    </row>
    <row r="804" spans="1:2" ht="14.4" x14ac:dyDescent="0.3">
      <c r="A804" s="2"/>
      <c r="B804" s="2"/>
    </row>
    <row r="805" spans="1:2" ht="14.4" x14ac:dyDescent="0.3">
      <c r="A805" s="2"/>
      <c r="B805" s="2"/>
    </row>
    <row r="806" spans="1:2" ht="14.4" x14ac:dyDescent="0.3">
      <c r="A806" s="2"/>
      <c r="B806" s="2"/>
    </row>
    <row r="807" spans="1:2" ht="14.4" x14ac:dyDescent="0.3">
      <c r="A807" s="2"/>
      <c r="B807" s="2"/>
    </row>
    <row r="808" spans="1:2" ht="14.4" x14ac:dyDescent="0.3">
      <c r="A808" s="2"/>
      <c r="B808" s="2"/>
    </row>
    <row r="809" spans="1:2" ht="14.4" x14ac:dyDescent="0.3">
      <c r="A809" s="2"/>
      <c r="B809" s="2"/>
    </row>
    <row r="810" spans="1:2" ht="14.4" x14ac:dyDescent="0.3">
      <c r="A810" s="2"/>
      <c r="B810" s="2"/>
    </row>
    <row r="811" spans="1:2" ht="14.4" x14ac:dyDescent="0.3">
      <c r="A811" s="2"/>
      <c r="B811" s="2"/>
    </row>
    <row r="812" spans="1:2" ht="14.4" x14ac:dyDescent="0.3">
      <c r="A812" s="2"/>
      <c r="B812" s="2"/>
    </row>
    <row r="813" spans="1:2" ht="14.4" x14ac:dyDescent="0.3">
      <c r="A813" s="2"/>
      <c r="B813" s="2"/>
    </row>
    <row r="814" spans="1:2" ht="14.4" x14ac:dyDescent="0.3">
      <c r="A814" s="2"/>
      <c r="B814" s="2"/>
    </row>
    <row r="815" spans="1:2" ht="14.4" x14ac:dyDescent="0.3">
      <c r="A815" s="2"/>
      <c r="B815" s="2"/>
    </row>
    <row r="816" spans="1:2" ht="14.4" x14ac:dyDescent="0.3">
      <c r="A816" s="2"/>
      <c r="B816" s="2"/>
    </row>
    <row r="817" spans="1:2" ht="14.4" x14ac:dyDescent="0.3">
      <c r="A817" s="2"/>
      <c r="B817" s="2"/>
    </row>
    <row r="818" spans="1:2" ht="14.4" x14ac:dyDescent="0.3">
      <c r="A818" s="2"/>
      <c r="B818" s="2"/>
    </row>
    <row r="819" spans="1:2" ht="14.4" x14ac:dyDescent="0.3">
      <c r="A819" s="2"/>
      <c r="B819" s="2"/>
    </row>
    <row r="820" spans="1:2" ht="14.4" x14ac:dyDescent="0.3">
      <c r="A820" s="2"/>
      <c r="B820" s="2"/>
    </row>
    <row r="821" spans="1:2" ht="14.4" x14ac:dyDescent="0.3">
      <c r="A821" s="2"/>
      <c r="B821" s="2"/>
    </row>
    <row r="822" spans="1:2" ht="14.4" x14ac:dyDescent="0.3">
      <c r="A822" s="2"/>
      <c r="B822" s="2"/>
    </row>
    <row r="823" spans="1:2" ht="14.4" x14ac:dyDescent="0.3">
      <c r="A823" s="2"/>
      <c r="B823" s="2"/>
    </row>
    <row r="824" spans="1:2" ht="14.4" x14ac:dyDescent="0.3">
      <c r="A824" s="2"/>
      <c r="B824" s="2"/>
    </row>
    <row r="825" spans="1:2" ht="14.4" x14ac:dyDescent="0.3">
      <c r="A825" s="2"/>
      <c r="B825" s="2"/>
    </row>
    <row r="826" spans="1:2" ht="14.4" x14ac:dyDescent="0.3">
      <c r="A826" s="2"/>
      <c r="B826" s="2"/>
    </row>
    <row r="827" spans="1:2" ht="14.4" x14ac:dyDescent="0.3">
      <c r="A827" s="2"/>
      <c r="B827" s="2"/>
    </row>
    <row r="828" spans="1:2" ht="14.4" x14ac:dyDescent="0.3">
      <c r="A828" s="2"/>
      <c r="B828" s="2"/>
    </row>
    <row r="829" spans="1:2" ht="14.4" x14ac:dyDescent="0.3">
      <c r="A829" s="2"/>
      <c r="B829" s="2"/>
    </row>
    <row r="830" spans="1:2" ht="14.4" x14ac:dyDescent="0.3">
      <c r="A830" s="2"/>
      <c r="B830" s="2"/>
    </row>
    <row r="831" spans="1:2" ht="14.4" x14ac:dyDescent="0.3">
      <c r="A831" s="2"/>
      <c r="B831" s="2"/>
    </row>
    <row r="832" spans="1:2" ht="14.4" x14ac:dyDescent="0.3">
      <c r="A832" s="2"/>
      <c r="B832" s="2"/>
    </row>
    <row r="833" spans="1:2" ht="14.4" x14ac:dyDescent="0.3">
      <c r="A833" s="2"/>
      <c r="B833" s="2"/>
    </row>
    <row r="834" spans="1:2" ht="14.4" x14ac:dyDescent="0.3">
      <c r="A834" s="2"/>
      <c r="B834" s="2"/>
    </row>
    <row r="835" spans="1:2" ht="14.4" x14ac:dyDescent="0.3">
      <c r="A835" s="2"/>
      <c r="B835" s="2"/>
    </row>
    <row r="836" spans="1:2" ht="14.4" x14ac:dyDescent="0.3">
      <c r="A836" s="2"/>
      <c r="B836" s="2"/>
    </row>
    <row r="837" spans="1:2" ht="14.4" x14ac:dyDescent="0.3">
      <c r="A837" s="2"/>
      <c r="B837" s="2"/>
    </row>
    <row r="838" spans="1:2" ht="14.4" x14ac:dyDescent="0.3">
      <c r="A838" s="2"/>
      <c r="B838" s="2"/>
    </row>
    <row r="839" spans="1:2" ht="14.4" x14ac:dyDescent="0.3">
      <c r="A839" s="2"/>
      <c r="B839" s="2"/>
    </row>
    <row r="840" spans="1:2" ht="14.4" x14ac:dyDescent="0.3">
      <c r="A840" s="2"/>
      <c r="B840" s="2"/>
    </row>
    <row r="841" spans="1:2" ht="14.4" x14ac:dyDescent="0.3">
      <c r="A841" s="2"/>
      <c r="B841" s="2"/>
    </row>
    <row r="842" spans="1:2" ht="14.4" x14ac:dyDescent="0.3">
      <c r="A842" s="2"/>
      <c r="B842" s="2"/>
    </row>
    <row r="843" spans="1:2" ht="14.4" x14ac:dyDescent="0.3">
      <c r="A843" s="2"/>
      <c r="B843" s="2"/>
    </row>
    <row r="844" spans="1:2" ht="14.4" x14ac:dyDescent="0.3">
      <c r="A844" s="2"/>
      <c r="B844" s="2"/>
    </row>
    <row r="845" spans="1:2" ht="14.4" x14ac:dyDescent="0.3">
      <c r="A845" s="2"/>
      <c r="B845" s="2"/>
    </row>
    <row r="846" spans="1:2" ht="14.4" x14ac:dyDescent="0.3">
      <c r="A846" s="2"/>
      <c r="B846" s="2"/>
    </row>
    <row r="847" spans="1:2" ht="14.4" x14ac:dyDescent="0.3">
      <c r="A847" s="2"/>
      <c r="B847" s="2"/>
    </row>
    <row r="848" spans="1:2" ht="14.4" x14ac:dyDescent="0.3">
      <c r="A848" s="2"/>
      <c r="B848" s="2"/>
    </row>
    <row r="849" spans="1:2" ht="14.4" x14ac:dyDescent="0.3">
      <c r="A849" s="2"/>
      <c r="B849" s="2"/>
    </row>
    <row r="850" spans="1:2" ht="14.4" x14ac:dyDescent="0.3">
      <c r="A850" s="2"/>
      <c r="B850" s="2"/>
    </row>
    <row r="851" spans="1:2" ht="14.4" x14ac:dyDescent="0.3">
      <c r="A851" s="2"/>
      <c r="B851" s="2"/>
    </row>
    <row r="852" spans="1:2" ht="14.4" x14ac:dyDescent="0.3">
      <c r="A852" s="2"/>
      <c r="B852" s="2"/>
    </row>
    <row r="853" spans="1:2" ht="14.4" x14ac:dyDescent="0.3">
      <c r="A853" s="2"/>
      <c r="B853" s="2"/>
    </row>
    <row r="854" spans="1:2" ht="14.4" x14ac:dyDescent="0.3">
      <c r="A854" s="2"/>
      <c r="B854" s="2"/>
    </row>
    <row r="855" spans="1:2" ht="14.4" x14ac:dyDescent="0.3">
      <c r="A855" s="2"/>
      <c r="B855" s="2"/>
    </row>
    <row r="856" spans="1:2" ht="14.4" x14ac:dyDescent="0.3">
      <c r="A856" s="2"/>
      <c r="B856" s="2"/>
    </row>
    <row r="857" spans="1:2" ht="14.4" x14ac:dyDescent="0.3">
      <c r="A857" s="2"/>
      <c r="B857" s="2"/>
    </row>
    <row r="858" spans="1:2" ht="14.4" x14ac:dyDescent="0.3">
      <c r="A858" s="2"/>
      <c r="B858" s="2"/>
    </row>
    <row r="859" spans="1:2" ht="14.4" x14ac:dyDescent="0.3">
      <c r="A859" s="2"/>
      <c r="B859" s="2"/>
    </row>
    <row r="860" spans="1:2" ht="14.4" x14ac:dyDescent="0.3">
      <c r="A860" s="2"/>
      <c r="B860" s="2"/>
    </row>
    <row r="861" spans="1:2" ht="14.4" x14ac:dyDescent="0.3">
      <c r="A861" s="2"/>
      <c r="B861" s="2"/>
    </row>
    <row r="862" spans="1:2" ht="14.4" x14ac:dyDescent="0.3">
      <c r="A862" s="2"/>
      <c r="B862" s="2"/>
    </row>
    <row r="863" spans="1:2" ht="14.4" x14ac:dyDescent="0.3">
      <c r="A863" s="2"/>
      <c r="B863" s="2"/>
    </row>
    <row r="864" spans="1:2" ht="14.4" x14ac:dyDescent="0.3">
      <c r="A864" s="2"/>
      <c r="B864" s="2"/>
    </row>
    <row r="865" spans="1:2" ht="14.4" x14ac:dyDescent="0.3">
      <c r="A865" s="2"/>
      <c r="B865" s="2"/>
    </row>
    <row r="866" spans="1:2" ht="14.4" x14ac:dyDescent="0.3">
      <c r="A866" s="2"/>
      <c r="B866" s="2"/>
    </row>
    <row r="867" spans="1:2" ht="14.4" x14ac:dyDescent="0.3">
      <c r="A867" s="2"/>
      <c r="B867" s="2"/>
    </row>
    <row r="868" spans="1:2" ht="14.4" x14ac:dyDescent="0.3">
      <c r="A868" s="2"/>
      <c r="B868" s="2"/>
    </row>
    <row r="869" spans="1:2" ht="14.4" x14ac:dyDescent="0.3">
      <c r="A869" s="2"/>
      <c r="B869" s="2"/>
    </row>
    <row r="870" spans="1:2" ht="14.4" x14ac:dyDescent="0.3">
      <c r="A870" s="2"/>
      <c r="B870" s="2"/>
    </row>
    <row r="871" spans="1:2" ht="14.4" x14ac:dyDescent="0.3">
      <c r="A871" s="2"/>
      <c r="B871" s="2"/>
    </row>
    <row r="872" spans="1:2" ht="14.4" x14ac:dyDescent="0.3">
      <c r="A872" s="2"/>
      <c r="B872" s="2"/>
    </row>
    <row r="873" spans="1:2" ht="14.4" x14ac:dyDescent="0.3">
      <c r="A873" s="2"/>
      <c r="B873" s="2"/>
    </row>
    <row r="874" spans="1:2" ht="14.4" x14ac:dyDescent="0.3">
      <c r="A874" s="2"/>
      <c r="B874" s="2"/>
    </row>
    <row r="875" spans="1:2" ht="14.4" x14ac:dyDescent="0.3">
      <c r="A875" s="2"/>
      <c r="B875" s="2"/>
    </row>
    <row r="876" spans="1:2" ht="14.4" x14ac:dyDescent="0.3">
      <c r="A876" s="2"/>
      <c r="B876" s="2"/>
    </row>
    <row r="877" spans="1:2" ht="14.4" x14ac:dyDescent="0.3">
      <c r="A877" s="2"/>
      <c r="B877" s="2"/>
    </row>
    <row r="878" spans="1:2" ht="14.4" x14ac:dyDescent="0.3">
      <c r="A878" s="2"/>
      <c r="B878" s="2"/>
    </row>
    <row r="879" spans="1:2" ht="14.4" x14ac:dyDescent="0.3">
      <c r="A879" s="2"/>
      <c r="B879" s="2"/>
    </row>
    <row r="880" spans="1:2" ht="14.4" x14ac:dyDescent="0.3">
      <c r="A880" s="2"/>
      <c r="B880" s="2"/>
    </row>
    <row r="881" spans="1:2" ht="14.4" x14ac:dyDescent="0.3">
      <c r="A881" s="2"/>
      <c r="B881" s="2"/>
    </row>
    <row r="882" spans="1:2" ht="14.4" x14ac:dyDescent="0.3">
      <c r="A882" s="2"/>
      <c r="B882" s="2"/>
    </row>
    <row r="883" spans="1:2" ht="14.4" x14ac:dyDescent="0.3">
      <c r="A883" s="2"/>
      <c r="B883" s="2"/>
    </row>
    <row r="884" spans="1:2" ht="14.4" x14ac:dyDescent="0.3">
      <c r="A884" s="2"/>
      <c r="B884" s="2"/>
    </row>
    <row r="885" spans="1:2" ht="14.4" x14ac:dyDescent="0.3">
      <c r="A885" s="2"/>
      <c r="B885" s="2"/>
    </row>
    <row r="886" spans="1:2" ht="14.4" x14ac:dyDescent="0.3">
      <c r="A886" s="2"/>
      <c r="B886" s="2"/>
    </row>
    <row r="887" spans="1:2" ht="14.4" x14ac:dyDescent="0.3">
      <c r="A887" s="2"/>
      <c r="B887" s="2"/>
    </row>
    <row r="888" spans="1:2" ht="14.4" x14ac:dyDescent="0.3">
      <c r="A888" s="2"/>
      <c r="B888" s="2"/>
    </row>
    <row r="889" spans="1:2" ht="14.4" x14ac:dyDescent="0.3">
      <c r="A889" s="2"/>
      <c r="B889" s="2"/>
    </row>
    <row r="890" spans="1:2" ht="14.4" x14ac:dyDescent="0.3">
      <c r="A890" s="2"/>
      <c r="B890" s="2"/>
    </row>
    <row r="891" spans="1:2" ht="14.4" x14ac:dyDescent="0.3">
      <c r="A891" s="2"/>
      <c r="B891" s="2"/>
    </row>
    <row r="892" spans="1:2" ht="14.4" x14ac:dyDescent="0.3">
      <c r="A892" s="2"/>
      <c r="B892" s="2"/>
    </row>
    <row r="893" spans="1:2" ht="14.4" x14ac:dyDescent="0.3">
      <c r="A893" s="2"/>
      <c r="B893" s="2"/>
    </row>
    <row r="894" spans="1:2" ht="14.4" x14ac:dyDescent="0.3">
      <c r="A894" s="2"/>
      <c r="B894" s="2"/>
    </row>
    <row r="895" spans="1:2" ht="14.4" x14ac:dyDescent="0.3">
      <c r="A895" s="2"/>
      <c r="B895" s="2"/>
    </row>
    <row r="896" spans="1:2" ht="14.4" x14ac:dyDescent="0.3">
      <c r="A896" s="2"/>
      <c r="B896" s="2"/>
    </row>
    <row r="897" spans="1:2" ht="14.4" x14ac:dyDescent="0.3">
      <c r="A897" s="2"/>
      <c r="B897" s="2"/>
    </row>
    <row r="898" spans="1:2" ht="14.4" x14ac:dyDescent="0.3">
      <c r="A898" s="2"/>
      <c r="B898" s="2"/>
    </row>
    <row r="899" spans="1:2" ht="14.4" x14ac:dyDescent="0.3">
      <c r="A899" s="2"/>
      <c r="B899" s="2"/>
    </row>
    <row r="900" spans="1:2" ht="14.4" x14ac:dyDescent="0.3">
      <c r="A900" s="2"/>
      <c r="B900" s="2"/>
    </row>
    <row r="901" spans="1:2" ht="14.4" x14ac:dyDescent="0.3">
      <c r="A901" s="2"/>
      <c r="B901" s="2"/>
    </row>
    <row r="902" spans="1:2" ht="14.4" x14ac:dyDescent="0.3">
      <c r="A902" s="2"/>
      <c r="B902" s="2"/>
    </row>
    <row r="903" spans="1:2" ht="14.4" x14ac:dyDescent="0.3">
      <c r="A903" s="2"/>
      <c r="B903" s="2"/>
    </row>
    <row r="904" spans="1:2" ht="14.4" x14ac:dyDescent="0.3">
      <c r="A904" s="2"/>
      <c r="B904" s="2"/>
    </row>
    <row r="905" spans="1:2" ht="14.4" x14ac:dyDescent="0.3">
      <c r="A905" s="2"/>
      <c r="B905" s="2"/>
    </row>
    <row r="906" spans="1:2" ht="14.4" x14ac:dyDescent="0.3">
      <c r="A906" s="2"/>
      <c r="B906" s="2"/>
    </row>
    <row r="907" spans="1:2" ht="14.4" x14ac:dyDescent="0.3">
      <c r="A907" s="2"/>
      <c r="B907" s="2"/>
    </row>
    <row r="908" spans="1:2" ht="14.4" x14ac:dyDescent="0.3">
      <c r="A908" s="2"/>
      <c r="B908" s="2"/>
    </row>
    <row r="909" spans="1:2" ht="14.4" x14ac:dyDescent="0.3">
      <c r="A909" s="2"/>
      <c r="B909" s="2"/>
    </row>
    <row r="910" spans="1:2" ht="14.4" x14ac:dyDescent="0.3">
      <c r="A910" s="2"/>
      <c r="B910" s="2"/>
    </row>
    <row r="911" spans="1:2" ht="14.4" x14ac:dyDescent="0.3">
      <c r="A911" s="2"/>
      <c r="B911" s="2"/>
    </row>
    <row r="912" spans="1:2" ht="14.4" x14ac:dyDescent="0.3">
      <c r="A912" s="2"/>
      <c r="B912" s="2"/>
    </row>
    <row r="913" spans="1:2" ht="14.4" x14ac:dyDescent="0.3">
      <c r="A913" s="2"/>
      <c r="B913" s="2"/>
    </row>
    <row r="914" spans="1:2" ht="14.4" x14ac:dyDescent="0.3">
      <c r="A914" s="2"/>
      <c r="B914" s="2"/>
    </row>
    <row r="915" spans="1:2" ht="14.4" x14ac:dyDescent="0.3">
      <c r="A915" s="2"/>
      <c r="B915" s="2"/>
    </row>
    <row r="916" spans="1:2" ht="14.4" x14ac:dyDescent="0.3">
      <c r="A916" s="2"/>
      <c r="B916" s="2"/>
    </row>
    <row r="917" spans="1:2" ht="14.4" x14ac:dyDescent="0.3">
      <c r="A917" s="2"/>
      <c r="B917" s="2"/>
    </row>
    <row r="918" spans="1:2" ht="14.4" x14ac:dyDescent="0.3">
      <c r="A918" s="2"/>
      <c r="B918" s="2"/>
    </row>
    <row r="919" spans="1:2" ht="14.4" x14ac:dyDescent="0.3">
      <c r="A919" s="2"/>
      <c r="B919" s="2"/>
    </row>
    <row r="920" spans="1:2" ht="14.4" x14ac:dyDescent="0.3">
      <c r="A920" s="2"/>
      <c r="B920" s="2"/>
    </row>
    <row r="921" spans="1:2" ht="14.4" x14ac:dyDescent="0.3">
      <c r="A921" s="2"/>
      <c r="B921" s="2"/>
    </row>
    <row r="922" spans="1:2" ht="14.4" x14ac:dyDescent="0.3">
      <c r="A922" s="2"/>
      <c r="B922" s="2"/>
    </row>
    <row r="923" spans="1:2" ht="14.4" x14ac:dyDescent="0.3">
      <c r="A923" s="2"/>
      <c r="B923" s="2"/>
    </row>
    <row r="924" spans="1:2" ht="14.4" x14ac:dyDescent="0.3">
      <c r="A924" s="2"/>
      <c r="B924" s="2"/>
    </row>
    <row r="925" spans="1:2" ht="14.4" x14ac:dyDescent="0.3">
      <c r="A925" s="2"/>
      <c r="B925" s="2"/>
    </row>
    <row r="926" spans="1:2" ht="14.4" x14ac:dyDescent="0.3">
      <c r="A926" s="2"/>
      <c r="B926" s="2"/>
    </row>
    <row r="927" spans="1:2" ht="14.4" x14ac:dyDescent="0.3">
      <c r="A927" s="2"/>
      <c r="B927" s="2"/>
    </row>
    <row r="928" spans="1:2" ht="14.4" x14ac:dyDescent="0.3">
      <c r="A928" s="2"/>
      <c r="B928" s="2"/>
    </row>
    <row r="929" spans="1:2" ht="14.4" x14ac:dyDescent="0.3">
      <c r="A929" s="2"/>
      <c r="B929" s="2"/>
    </row>
    <row r="930" spans="1:2" ht="14.4" x14ac:dyDescent="0.3">
      <c r="A930" s="2"/>
      <c r="B930" s="2"/>
    </row>
    <row r="931" spans="1:2" ht="14.4" x14ac:dyDescent="0.3">
      <c r="A931" s="2"/>
      <c r="B931" s="2"/>
    </row>
    <row r="932" spans="1:2" ht="14.4" x14ac:dyDescent="0.3">
      <c r="A932" s="2"/>
      <c r="B932" s="2"/>
    </row>
    <row r="933" spans="1:2" ht="14.4" x14ac:dyDescent="0.3">
      <c r="A933" s="2"/>
      <c r="B933" s="2"/>
    </row>
    <row r="934" spans="1:2" ht="14.4" x14ac:dyDescent="0.3">
      <c r="A934" s="2"/>
      <c r="B934" s="2"/>
    </row>
    <row r="935" spans="1:2" ht="14.4" x14ac:dyDescent="0.3">
      <c r="A935" s="2"/>
      <c r="B935" s="2"/>
    </row>
    <row r="936" spans="1:2" ht="14.4" x14ac:dyDescent="0.3">
      <c r="A936" s="2"/>
      <c r="B936" s="2"/>
    </row>
    <row r="937" spans="1:2" ht="14.4" x14ac:dyDescent="0.3">
      <c r="A937" s="2"/>
      <c r="B937" s="2"/>
    </row>
    <row r="938" spans="1:2" ht="14.4" x14ac:dyDescent="0.3">
      <c r="A938" s="2"/>
      <c r="B938" s="2"/>
    </row>
    <row r="939" spans="1:2" ht="14.4" x14ac:dyDescent="0.3">
      <c r="A939" s="2"/>
      <c r="B939" s="2"/>
    </row>
    <row r="940" spans="1:2" ht="14.4" x14ac:dyDescent="0.3">
      <c r="A940" s="2"/>
      <c r="B940" s="2"/>
    </row>
    <row r="941" spans="1:2" ht="14.4" x14ac:dyDescent="0.3">
      <c r="A941" s="2"/>
      <c r="B941" s="2"/>
    </row>
    <row r="942" spans="1:2" ht="14.4" x14ac:dyDescent="0.3">
      <c r="A942" s="2"/>
      <c r="B942" s="2"/>
    </row>
    <row r="943" spans="1:2" ht="14.4" x14ac:dyDescent="0.3">
      <c r="A943" s="2"/>
      <c r="B943" s="2"/>
    </row>
    <row r="944" spans="1:2" ht="14.4" x14ac:dyDescent="0.3">
      <c r="A944" s="2"/>
      <c r="B944" s="2"/>
    </row>
    <row r="945" spans="1:2" ht="14.4" x14ac:dyDescent="0.3">
      <c r="A945" s="2"/>
      <c r="B945" s="2"/>
    </row>
    <row r="946" spans="1:2" ht="14.4" x14ac:dyDescent="0.3">
      <c r="A946" s="2"/>
      <c r="B946" s="2"/>
    </row>
    <row r="947" spans="1:2" ht="14.4" x14ac:dyDescent="0.3">
      <c r="A947" s="2"/>
      <c r="B947" s="2"/>
    </row>
    <row r="948" spans="1:2" ht="14.4" x14ac:dyDescent="0.3">
      <c r="A948" s="2"/>
      <c r="B948" s="2"/>
    </row>
    <row r="949" spans="1:2" ht="14.4" x14ac:dyDescent="0.3">
      <c r="A949" s="2"/>
      <c r="B949" s="2"/>
    </row>
    <row r="950" spans="1:2" ht="14.4" x14ac:dyDescent="0.3">
      <c r="A950" s="2"/>
      <c r="B950" s="2"/>
    </row>
    <row r="951" spans="1:2" ht="14.4" x14ac:dyDescent="0.3">
      <c r="A951" s="2"/>
      <c r="B951" s="2"/>
    </row>
    <row r="952" spans="1:2" ht="14.4" x14ac:dyDescent="0.3">
      <c r="A952" s="2"/>
      <c r="B952" s="2"/>
    </row>
    <row r="953" spans="1:2" ht="14.4" x14ac:dyDescent="0.3">
      <c r="A953" s="2"/>
      <c r="B953" s="2"/>
    </row>
    <row r="954" spans="1:2" ht="14.4" x14ac:dyDescent="0.3">
      <c r="A954" s="2"/>
      <c r="B954" s="2"/>
    </row>
    <row r="955" spans="1:2" ht="14.4" x14ac:dyDescent="0.3">
      <c r="A955" s="2"/>
      <c r="B955" s="2"/>
    </row>
    <row r="956" spans="1:2" ht="14.4" x14ac:dyDescent="0.3">
      <c r="A956" s="2"/>
      <c r="B956" s="2"/>
    </row>
    <row r="957" spans="1:2" ht="14.4" x14ac:dyDescent="0.3">
      <c r="A957" s="2"/>
      <c r="B957" s="2"/>
    </row>
    <row r="958" spans="1:2" ht="14.4" x14ac:dyDescent="0.3">
      <c r="A958" s="2"/>
      <c r="B958" s="2"/>
    </row>
    <row r="959" spans="1:2" ht="14.4" x14ac:dyDescent="0.3">
      <c r="A959" s="2"/>
      <c r="B959" s="2"/>
    </row>
    <row r="960" spans="1:2" ht="14.4" x14ac:dyDescent="0.3">
      <c r="A960" s="2"/>
      <c r="B960" s="2"/>
    </row>
    <row r="961" spans="1:2" ht="14.4" x14ac:dyDescent="0.3">
      <c r="A961" s="2"/>
      <c r="B961" s="2"/>
    </row>
    <row r="962" spans="1:2" ht="14.4" x14ac:dyDescent="0.3">
      <c r="A962" s="2"/>
      <c r="B962" s="2"/>
    </row>
    <row r="963" spans="1:2" ht="14.4" x14ac:dyDescent="0.3">
      <c r="A963" s="2"/>
      <c r="B963" s="2"/>
    </row>
    <row r="964" spans="1:2" ht="14.4" x14ac:dyDescent="0.3">
      <c r="A964" s="2"/>
      <c r="B964" s="2"/>
    </row>
    <row r="965" spans="1:2" ht="14.4" x14ac:dyDescent="0.3">
      <c r="A965" s="2"/>
      <c r="B965" s="2"/>
    </row>
    <row r="966" spans="1:2" ht="14.4" x14ac:dyDescent="0.3">
      <c r="A966" s="2"/>
      <c r="B966" s="2"/>
    </row>
    <row r="967" spans="1:2" ht="14.4" x14ac:dyDescent="0.3">
      <c r="A967" s="2"/>
      <c r="B967" s="2"/>
    </row>
    <row r="968" spans="1:2" ht="14.4" x14ac:dyDescent="0.3">
      <c r="A968" s="2"/>
      <c r="B968" s="2"/>
    </row>
    <row r="969" spans="1:2" ht="14.4" x14ac:dyDescent="0.3">
      <c r="A969" s="2"/>
      <c r="B969" s="2"/>
    </row>
    <row r="970" spans="1:2" ht="14.4" x14ac:dyDescent="0.3">
      <c r="A970" s="2"/>
      <c r="B970" s="2"/>
    </row>
    <row r="971" spans="1:2" ht="14.4" x14ac:dyDescent="0.3">
      <c r="A971" s="2"/>
      <c r="B971" s="2"/>
    </row>
    <row r="972" spans="1:2" ht="14.4" x14ac:dyDescent="0.3">
      <c r="A972" s="2"/>
      <c r="B972" s="2"/>
    </row>
    <row r="973" spans="1:2" ht="14.4" x14ac:dyDescent="0.3">
      <c r="A973" s="2"/>
      <c r="B973" s="2"/>
    </row>
    <row r="974" spans="1:2" ht="14.4" x14ac:dyDescent="0.3">
      <c r="A974" s="2"/>
      <c r="B974" s="2"/>
    </row>
    <row r="975" spans="1:2" ht="14.4" x14ac:dyDescent="0.3">
      <c r="A975" s="2"/>
      <c r="B975" s="2"/>
    </row>
    <row r="976" spans="1:2" ht="14.4" x14ac:dyDescent="0.3">
      <c r="A976" s="2"/>
      <c r="B976" s="2"/>
    </row>
    <row r="977" spans="1:2" ht="14.4" x14ac:dyDescent="0.3">
      <c r="A977" s="2"/>
      <c r="B977" s="2"/>
    </row>
    <row r="978" spans="1:2" ht="14.4" x14ac:dyDescent="0.3">
      <c r="A978" s="2"/>
      <c r="B978" s="2"/>
    </row>
    <row r="979" spans="1:2" ht="14.4" x14ac:dyDescent="0.3">
      <c r="A979" s="2"/>
      <c r="B979" s="2"/>
    </row>
    <row r="980" spans="1:2" ht="14.4" x14ac:dyDescent="0.3">
      <c r="A980" s="2"/>
      <c r="B980" s="2"/>
    </row>
    <row r="981" spans="1:2" ht="14.4" x14ac:dyDescent="0.3">
      <c r="A981" s="2"/>
      <c r="B981" s="2"/>
    </row>
    <row r="982" spans="1:2" ht="14.4" x14ac:dyDescent="0.3">
      <c r="A982" s="2"/>
      <c r="B982" s="2"/>
    </row>
    <row r="983" spans="1:2" ht="14.4" x14ac:dyDescent="0.3">
      <c r="A983" s="2"/>
      <c r="B983" s="2"/>
    </row>
    <row r="984" spans="1:2" ht="14.4" x14ac:dyDescent="0.3">
      <c r="A984" s="2"/>
      <c r="B984" s="2"/>
    </row>
    <row r="985" spans="1:2" ht="14.4" x14ac:dyDescent="0.3">
      <c r="A985" s="2"/>
      <c r="B985" s="2"/>
    </row>
    <row r="986" spans="1:2" ht="14.4" x14ac:dyDescent="0.3">
      <c r="A986" s="2"/>
      <c r="B986" s="2"/>
    </row>
    <row r="987" spans="1:2" ht="14.4" x14ac:dyDescent="0.3">
      <c r="A987" s="2"/>
      <c r="B987" s="2"/>
    </row>
    <row r="988" spans="1:2" ht="14.4" x14ac:dyDescent="0.3">
      <c r="A988" s="2"/>
      <c r="B988" s="2"/>
    </row>
    <row r="989" spans="1:2" ht="14.4" x14ac:dyDescent="0.3">
      <c r="A989" s="2"/>
      <c r="B989" s="2"/>
    </row>
    <row r="990" spans="1:2" ht="14.4" x14ac:dyDescent="0.3">
      <c r="A990" s="2"/>
      <c r="B990" s="2"/>
    </row>
    <row r="991" spans="1:2" ht="14.4" x14ac:dyDescent="0.3">
      <c r="A991" s="2"/>
      <c r="B991" s="2"/>
    </row>
    <row r="992" spans="1:2" ht="14.4" x14ac:dyDescent="0.3">
      <c r="A992" s="2"/>
      <c r="B992" s="2"/>
    </row>
    <row r="993" spans="1:2" ht="14.4" x14ac:dyDescent="0.3">
      <c r="A993" s="2"/>
      <c r="B993" s="2"/>
    </row>
    <row r="994" spans="1:2" ht="14.4" x14ac:dyDescent="0.3">
      <c r="A994" s="2"/>
      <c r="B994" s="2"/>
    </row>
    <row r="995" spans="1:2" ht="14.4" x14ac:dyDescent="0.3">
      <c r="A995" s="2"/>
      <c r="B995" s="2"/>
    </row>
    <row r="996" spans="1:2" ht="14.4" x14ac:dyDescent="0.3">
      <c r="A996" s="2"/>
      <c r="B996" s="2"/>
    </row>
    <row r="997" spans="1:2" ht="14.4" x14ac:dyDescent="0.3">
      <c r="A997" s="2"/>
      <c r="B997" s="2"/>
    </row>
    <row r="998" spans="1:2" ht="14.4" x14ac:dyDescent="0.3">
      <c r="A998" s="2"/>
      <c r="B998" s="2"/>
    </row>
    <row r="999" spans="1:2" ht="14.4" x14ac:dyDescent="0.3">
      <c r="A999" s="2"/>
      <c r="B999" s="2"/>
    </row>
    <row r="1000" spans="1:2" ht="14.4" x14ac:dyDescent="0.3">
      <c r="A1000" s="2"/>
      <c r="B1000" s="2"/>
    </row>
    <row r="1001" spans="1:2" ht="14.4" x14ac:dyDescent="0.3">
      <c r="A1001" s="2"/>
      <c r="B1001" s="2"/>
    </row>
    <row r="1002" spans="1:2" ht="14.4" x14ac:dyDescent="0.3">
      <c r="A1002" s="2"/>
      <c r="B1002" s="2"/>
    </row>
    <row r="1003" spans="1:2" ht="14.4" x14ac:dyDescent="0.3">
      <c r="A1003" s="2"/>
      <c r="B1003" s="2"/>
    </row>
  </sheetData>
  <sortState xmlns:xlrd2="http://schemas.microsoft.com/office/spreadsheetml/2017/richdata2" ref="A2:AL251">
    <sortCondition ref="E2:E251"/>
    <sortCondition ref="B2:B251"/>
  </sortState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Vizer, Lili</cp:lastModifiedBy>
  <dcterms:created xsi:type="dcterms:W3CDTF">2025-09-29T18:45:07Z</dcterms:created>
  <dcterms:modified xsi:type="dcterms:W3CDTF">2025-09-29T19:05:25Z</dcterms:modified>
</cp:coreProperties>
</file>